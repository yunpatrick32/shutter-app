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h to $50K" sheetId="1" state="visible" r:id="rId3"/>
    <sheet name="Dashboard" sheetId="2" state="visible" r:id="rId4"/>
    <sheet name="Infrastructure" sheetId="3" state="visible" r:id="rId5"/>
    <sheet name="Revenue Model" sheetId="4" state="visible" r:id="rId6"/>
    <sheet name="Stripe Fees" sheetId="5" state="visible" r:id="rId7"/>
    <sheet name="Tax Planning" sheetId="6" state="visible" r:id="rId8"/>
    <sheet name="Creator Pro" sheetId="7" state="visible" r:id="rId9"/>
    <sheet name="Processor Comparison" sheetId="8" state="visible" r:id="rId10"/>
    <sheet name="Refund Scenarios" sheetId="9" state="visible" r:id="rId11"/>
    <sheet name="P&amp;L Taxonomy" sheetId="10" state="visible" r:id="rId12"/>
    <sheet name="Mercury Pre-Stage" sheetId="11" state="visible" r:id="rId13"/>
    <sheet name="Runwa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<sst xmlns="http://schemas.openxmlformats.org/spreadsheetml/2006/main" count="712" uniqueCount="631">
  <si>
    <t xml:space="preserve">Path to $50K Monthly Profit — Shutter</t>
  </si>
  <si>
    <t xml:space="preserve">How many creators, bookings, and users it takes to hit $50,000/month net (before taxes)</t>
  </si>
  <si>
    <t xml:space="preserve">KEY ASSUMPTIONS  (blue = change these)</t>
  </si>
  <si>
    <t xml:space="preserve">All assumptions feed every table below</t>
  </si>
  <si>
    <t xml:space="preserve">Avg booking value ($)</t>
  </si>
  <si>
    <t xml:space="preserve">Conservative Tahoe rate — adjust up for multi-day shoots</t>
  </si>
  <si>
    <t xml:space="preserve">Client service fee %</t>
  </si>
  <si>
    <t xml:space="preserve">Flat 8% platform service fee (Orchestrator Apr 20 ruling). Was 4% client + 2% creator before retirement.</t>
  </si>
  <si>
    <t xml:space="preserve">Creator payout deduction %</t>
  </si>
  <si>
    <t xml:space="preserve">Retired Apr 20 — folded into unified 8% above. Left at 0 to preserve formula compatibility.</t>
  </si>
  <si>
    <t xml:space="preserve">Processor fee % (Stripe/Helcim)</t>
  </si>
  <si>
    <t xml:space="preserve">2.9% Stripe | 2.49% Helcim | 0% Dwolla ACH</t>
  </si>
  <si>
    <t xml:space="preserve">Processor fixed fee per txn ($)</t>
  </si>
  <si>
    <t xml:space="preserve">$0.30 Stripe | $0.25 Helcim | ~$0.25 Dwolla</t>
  </si>
  <si>
    <t xml:space="preserve">Creator Pro monthly price ($)</t>
  </si>
  <si>
    <t xml:space="preserve">Phase 2 trigger at 25 real creators; $14/mo per Apr 23 monetization roadmap (was $19).</t>
  </si>
  <si>
    <t xml:space="preserve">Creator Pro adoption rate %</t>
  </si>
  <si>
    <t xml:space="preserve">% of active creators who pay for Pro</t>
  </si>
  <si>
    <t xml:space="preserve">Avg bookings per creator per month</t>
  </si>
  <si>
    <t xml:space="preserve">Realistic mid-season average — adjust per season</t>
  </si>
  <si>
    <t xml:space="preserve">Infra cost per month ($)</t>
  </si>
  <si>
    <t xml:space="preserve">Conservative Stage 2-3 estimate</t>
  </si>
  <si>
    <t xml:space="preserve">NET REVENUE PER BOOKING (auto-calculated from assumptions)</t>
  </si>
  <si>
    <t xml:space="preserve">Client pays (booking + service fee)</t>
  </si>
  <si>
    <t xml:space="preserve">Processor fee on client total</t>
  </si>
  <si>
    <t xml:space="preserve">Creator payout (booking - deduction)</t>
  </si>
  <si>
    <t xml:space="preserve">Platform gross (fees collected)</t>
  </si>
  <si>
    <t xml:space="preserve">Platform NET per booking (after processor)</t>
  </si>
  <si>
    <t xml:space="preserve">SCENARIOS — WHAT IT TAKES TO HIT $50K/MONTH</t>
  </si>
  <si>
    <t xml:space="preserve">Each scenario uses a different mix of creator count and booking volume. Change assumptions above to update.</t>
  </si>
  <si>
    <t xml:space="preserve">Scenario</t>
  </si>
  <si>
    <t xml:space="preserve">Active Creators</t>
  </si>
  <si>
    <t xml:space="preserve">Bookings/Month</t>
  </si>
  <si>
    <t xml:space="preserve">Transaction Revenue</t>
  </si>
  <si>
    <t xml:space="preserve">Pro Subscriptions</t>
  </si>
  <si>
    <t xml:space="preserve">Total Revenue</t>
  </si>
  <si>
    <t xml:space="preserve">Net Profit</t>
  </si>
  <si>
    <t xml:space="preserve">A — Tahoe Only
(no subscriptions)</t>
  </si>
  <si>
    <t xml:space="preserve">B — Tahoe + Reno
(some Pro creators)</t>
  </si>
  <si>
    <t xml:space="preserve">C — Tahoe+Reno+SF
(Pro at scale)</t>
  </si>
  <si>
    <t xml:space="preserve">D — Multi-market
(full Pro adoption)</t>
  </si>
  <si>
    <t xml:space="preserve">🎯  TARGET: $50,000/month profit</t>
  </si>
  <si>
    <t xml:space="preserve">REVERSE SOLVER — Exact user count needed for $50K/month</t>
  </si>
  <si>
    <t xml:space="preserve">Metric</t>
  </si>
  <si>
    <t xml:space="preserve">Transactions Only</t>
  </si>
  <si>
    <t xml:space="preserve">+ Some Pro (65%)</t>
  </si>
  <si>
    <t xml:space="preserve">Notes</t>
  </si>
  <si>
    <t xml:space="preserve">Net per booking ($)</t>
  </si>
  <si>
    <t xml:space="preserve">Auto-calculated above</t>
  </si>
  <si>
    <t xml:space="preserve">Monthly Pro revenue at target</t>
  </si>
  <si>
    <t xml:space="preserve">Assume Pro covers 20% of target in mix scenario</t>
  </si>
  <si>
    <t xml:space="preserve">Bookings needed from txns</t>
  </si>
  <si>
    <t xml:space="preserve">Total bookings required</t>
  </si>
  <si>
    <t xml:space="preserve">Creators needed</t>
  </si>
  <si>
    <t xml:space="preserve">At avg bookings/creator assumption</t>
  </si>
  <si>
    <t xml:space="preserve">Creator Pro paying creators</t>
  </si>
  <si>
    <t xml:space="preserve">Revenue ÷ Pro price</t>
  </si>
  <si>
    <t xml:space="preserve">Total creators on platform</t>
  </si>
  <si>
    <t xml:space="preserve">Larger of needed for bookings vs Pro</t>
  </si>
  <si>
    <t xml:space="preserve">Clients (est. 8:1 ratio)</t>
  </si>
  <si>
    <t xml:space="preserve">8 clients per creator is realistic for local marketplace</t>
  </si>
  <si>
    <t xml:space="preserve">Total MAU (creators+clients)</t>
  </si>
  <si>
    <t xml:space="preserve">Monthly active users estimate</t>
  </si>
  <si>
    <t xml:space="preserve">Expansion needed?</t>
  </si>
  <si>
    <t xml:space="preserve">Tahoe market realistically supports ~150 active creators</t>
  </si>
  <si>
    <t xml:space="preserve">MARKET EXPANSION ROADMAP TO $50K</t>
  </si>
  <si>
    <t xml:space="preserve">Phase</t>
  </si>
  <si>
    <t xml:space="preserve">Market</t>
  </si>
  <si>
    <t xml:space="preserve">Target Creators</t>
  </si>
  <si>
    <t xml:space="preserve">Target Bookings/mo</t>
  </si>
  <si>
    <t xml:space="preserve">Est. Monthly Revenue</t>
  </si>
  <si>
    <t xml:space="preserve">Cumulative Revenue</t>
  </si>
  <si>
    <t xml:space="preserve">Timeline</t>
  </si>
  <si>
    <t xml:space="preserve">Phase 1</t>
  </si>
  <si>
    <t xml:space="preserve">Lake Tahoe / Truckee</t>
  </si>
  <si>
    <t xml:space="preserve">Now → 6 mo</t>
  </si>
  <si>
    <t xml:space="preserve">Phase 2</t>
  </si>
  <si>
    <t xml:space="preserve">+ Reno / Carson City</t>
  </si>
  <si>
    <t xml:space="preserve">6 → 12 mo</t>
  </si>
  <si>
    <t xml:space="preserve">Phase 3</t>
  </si>
  <si>
    <t xml:space="preserve">+ SF Bay Area</t>
  </si>
  <si>
    <t xml:space="preserve">12 → 18 mo</t>
  </si>
  <si>
    <t xml:space="preserve">Phase 4</t>
  </si>
  <si>
    <t xml:space="preserve">+ Portland / Seattle / Denver</t>
  </si>
  <si>
    <t xml:space="preserve">18 → 30 mo</t>
  </si>
  <si>
    <t xml:space="preserve">Phase 5</t>
  </si>
  <si>
    <t xml:space="preserve">National — All major ski markets</t>
  </si>
  <si>
    <t xml:space="preserve">30+ mo</t>
  </si>
  <si>
    <t xml:space="preserve">💡  $50K/month is realistically achievable at Phase 4-5 without geographic expansion, or Phase 3 with strong Pro adoption.</t>
  </si>
  <si>
    <t xml:space="preserve">SHUTTER — Financial Dashboard</t>
  </si>
  <si>
    <t xml:space="preserve">April 2026  |  Stage 1: Pre-Revenue  |  Founder: Patrick Yun</t>
  </si>
  <si>
    <t xml:space="preserve">Monthly Infra Cost</t>
  </si>
  <si>
    <t xml:space="preserve">Annual LLC Tax</t>
  </si>
  <si>
    <t xml:space="preserve">Stripe per $1K</t>
  </si>
  <si>
    <t xml:space="preserve">Tax Reserve %</t>
  </si>
  <si>
    <t xml:space="preserve">Break-even Bookings</t>
  </si>
  <si>
    <t xml:space="preserve">(linked)</t>
  </si>
  <si>
    <t xml:space="preserve">STAGE OVERVIEW</t>
  </si>
  <si>
    <t xml:space="preserve">Stage</t>
  </si>
  <si>
    <t xml:space="preserve">Users</t>
  </si>
  <si>
    <t xml:space="preserve">Est. Monthly Cost</t>
  </si>
  <si>
    <t xml:space="preserve">Monthly Revenue</t>
  </si>
  <si>
    <t xml:space="preserve">Status</t>
  </si>
  <si>
    <t xml:space="preserve">Stage 1 — Pre-Revenue</t>
  </si>
  <si>
    <t xml:space="preserve">0 – 500</t>
  </si>
  <si>
    <t xml:space="preserve">$0 – $20</t>
  </si>
  <si>
    <t xml:space="preserve">$0</t>
  </si>
  <si>
    <t xml:space="preserve">✅ Current</t>
  </si>
  <si>
    <t xml:space="preserve">All services on free tiers. Only cost: Apple Dev $99/yr if pursuing App Store.</t>
  </si>
  <si>
    <t xml:space="preserve">Stage 2 — Early Traction</t>
  </si>
  <si>
    <t xml:space="preserve">500 – 2,000</t>
  </si>
  <si>
    <t xml:space="preserve">$65 – $150</t>
  </si>
  <si>
    <t xml:space="preserve">$500 – $5K</t>
  </si>
  <si>
    <t xml:space="preserve">⏳ Next</t>
  </si>
  <si>
    <t xml:space="preserve">Netlify Pro, Supabase Pro, Resend paid kick in.</t>
  </si>
  <si>
    <t xml:space="preserve">Stage 3 — Scale</t>
  </si>
  <si>
    <t xml:space="preserve">2,000+</t>
  </si>
  <si>
    <t xml:space="preserve">$300 – $500</t>
  </si>
  <si>
    <t xml:space="preserve">$10K+</t>
  </si>
  <si>
    <t xml:space="preserve">🔮 Future</t>
  </si>
  <si>
    <t xml:space="preserve">Add accounting SW, bookkeeper, higher Mapbox usage.</t>
  </si>
  <si>
    <t xml:space="preserve">SHEET GUIDE</t>
  </si>
  <si>
    <t xml:space="preserve">Sheet</t>
  </si>
  <si>
    <t xml:space="preserve">Description</t>
  </si>
  <si>
    <t xml:space="preserve">Infrastructure</t>
  </si>
  <si>
    <t xml:space="preserve">Monthly &amp; annual cost breakdown across all 3 stages</t>
  </si>
  <si>
    <t xml:space="preserve">Revenue Model</t>
  </si>
  <si>
    <t xml:space="preserve">Creator count + booking frequency → projected revenue (24 months)</t>
  </si>
  <si>
    <t xml:space="preserve">Refund Scenarios</t>
  </si>
  <si>
    <t xml:space="preserve">Partial-refund cash flow per Finance Apr 23 ruling (option a)</t>
  </si>
  <si>
    <t xml:space="preserve">P&amp;L Taxonomy</t>
  </si>
  <si>
    <t xml:space="preserve">Chart of accounts for QuickBooks once Mercury opens</t>
  </si>
  <si>
    <t xml:space="preserve">APRIL 30 SNAPSHOT</t>
  </si>
  <si>
    <t xml:space="preserve">Mercury submission readiness</t>
  </si>
  <si>
    <t xml:space="preserve">BLOCKED — Patrick has not yet filed CA LLC-1 ($70, bizfileonline.sos.ca.gov)</t>
  </si>
  <si>
    <t xml:space="preserve">Year-1 no-revenue burn (low / high)</t>
  </si>
  <si>
    <t xml:space="preserve">Real creator count</t>
  </si>
  <si>
    <t xml:space="preserve">0 / 7 seeded — Phase 2 ($14/mo Pro) triggers at 25</t>
  </si>
  <si>
    <t xml:space="preserve">Geo-ads launch gate</t>
  </si>
  <si>
    <t xml:space="preserve">3 / 6 preconditions cleared (domain, Stripe webhook, Legal mark sign-off)</t>
  </si>
  <si>
    <t xml:space="preserve">Paid-media spend YTD</t>
  </si>
  <si>
    <t xml:space="preserve">$0 — gate not yet cleared. $500/mo cap when active.</t>
  </si>
  <si>
    <t xml:space="preserve">Mercury Pre-Stage</t>
  </si>
  <si>
    <t xml:space="preserve">Pre-staged Mercury application checklist + document timeline</t>
  </si>
  <si>
    <t xml:space="preserve">Runway</t>
  </si>
  <si>
    <t xml:space="preserve">Year-1 no-revenue burn ($2,000–$2,800), FTB timing, paid-media contingency</t>
  </si>
  <si>
    <t xml:space="preserve">Infrastructure &amp; Operating Costs</t>
  </si>
  <si>
    <t xml:space="preserve">Blue = input (change these)  |  Black = formula  |  All costs in USD</t>
  </si>
  <si>
    <t xml:space="preserve">Service</t>
  </si>
  <si>
    <t xml:space="preserve">Monthly Cost ($)</t>
  </si>
  <si>
    <t xml:space="preserve">Frequency</t>
  </si>
  <si>
    <t xml:space="preserve">Annual Cost ($)</t>
  </si>
  <si>
    <t xml:space="preserve">STAGE 1 — Pre-Revenue (0–500 users)</t>
  </si>
  <si>
    <t xml:space="preserve">Netlify</t>
  </si>
  <si>
    <t xml:space="preserve">monthly</t>
  </si>
  <si>
    <t xml:space="preserve">Free tier (100GB BW, 300 build min)</t>
  </si>
  <si>
    <t xml:space="preserve">Supabase</t>
  </si>
  <si>
    <t xml:space="preserve">Free tier (500MB DB, 1GB storage, 50k auth users)</t>
  </si>
  <si>
    <t xml:space="preserve">Mapbox</t>
  </si>
  <si>
    <t xml:space="preserve">Free tier (50k map loads/mo)</t>
  </si>
  <si>
    <t xml:space="preserve">Resend</t>
  </si>
  <si>
    <t xml:space="preserve">Free tier (100 emails/day)</t>
  </si>
  <si>
    <t xml:space="preserve">Apple Dev</t>
  </si>
  <si>
    <t xml:space="preserve">$99/yr — only if pursuing App Store</t>
  </si>
  <si>
    <t xml:space="preserve">Domain (est.)</t>
  </si>
  <si>
    <t xml:space="preserve">~$15/yr at Namecheap/Cloudflare — after brand name locked</t>
  </si>
  <si>
    <t xml:space="preserve">STAGE 1 TOTAL</t>
  </si>
  <si>
    <t xml:space="preserve">Source: Netlify/Supabase/Mapbox/Resend pricing pages, April 2026</t>
  </si>
  <si>
    <t xml:space="preserve">STAGE 2 — Early Traction (500–2,000 users)</t>
  </si>
  <si>
    <t xml:space="preserve">Netlify Pro</t>
  </si>
  <si>
    <t xml:space="preserve">$19/mo — custom domain, analytics, more bandwidth</t>
  </si>
  <si>
    <t xml:space="preserve">Supabase Pro</t>
  </si>
  <si>
    <t xml:space="preserve">$25/mo — hits at ~500MB storage from portfolio photos</t>
  </si>
  <si>
    <t xml:space="preserve">Est. $10/mo at moderate traffic (above 50k loads)</t>
  </si>
  <si>
    <t xml:space="preserve">$20/mo — up to 50k emails</t>
  </si>
  <si>
    <t xml:space="preserve">$99/yr — App Store</t>
  </si>
  <si>
    <t xml:space="preserve">Domain</t>
  </si>
  <si>
    <t xml:space="preserve">~$15/yr</t>
  </si>
  <si>
    <t xml:space="preserve">Misc / Buffer</t>
  </si>
  <si>
    <t xml:space="preserve">SMS, monitoring, small tools</t>
  </si>
  <si>
    <t xml:space="preserve">STAGE 2 TOTAL</t>
  </si>
  <si>
    <t xml:space="preserve">Source: Netlify/Supabase pricing pages, April 2026</t>
  </si>
  <si>
    <t xml:space="preserve">STAGE 3 — Scale (2,000+ users, $10K+/mo revenue)</t>
  </si>
  <si>
    <t xml:space="preserve">Netlify Business</t>
  </si>
  <si>
    <t xml:space="preserve">$99/mo — team access, higher limits</t>
  </si>
  <si>
    <t xml:space="preserve">$25/mo + usage overage</t>
  </si>
  <si>
    <t xml:space="preserve">Est. $100/mo at high traffic</t>
  </si>
  <si>
    <t xml:space="preserve">$20/mo</t>
  </si>
  <si>
    <t xml:space="preserve">$99/yr</t>
  </si>
  <si>
    <t xml:space="preserve">Accounting SW</t>
  </si>
  <si>
    <t xml:space="preserve">QuickBooks Self-Employed</t>
  </si>
  <si>
    <t xml:space="preserve">Bookkeeper</t>
  </si>
  <si>
    <t xml:space="preserve">Part-time bookkeeper at scale</t>
  </si>
  <si>
    <t xml:space="preserve">Legal / CPA</t>
  </si>
  <si>
    <t xml:space="preserve">~$1K/yr for annual tax prep</t>
  </si>
  <si>
    <t xml:space="preserve">Monitoring, ops tools, misc</t>
  </si>
  <si>
    <t xml:space="preserve">STAGE 3 TOTAL</t>
  </si>
  <si>
    <t xml:space="preserve">Revenue Model — 24-Month Projection</t>
  </si>
  <si>
    <t xml:space="preserve">ASSUMPTIONS (blue = change these)</t>
  </si>
  <si>
    <t xml:space="preserve">Average booking value ($)</t>
  </si>
  <si>
    <t xml:space="preserve">Platform commission rate (%)</t>
  </si>
  <si>
    <t xml:space="preserve">Stripe fee rate (%)</t>
  </si>
  <si>
    <t xml:space="preserve">Stripe fixed fee per txn ($)</t>
  </si>
  <si>
    <t xml:space="preserve">Creators at Month 1</t>
  </si>
  <si>
    <t xml:space="preserve">New creators added per month</t>
  </si>
  <si>
    <t xml:space="preserve">Bookings per creator per month</t>
  </si>
  <si>
    <t xml:space="preserve">MONTHLY PROJECTIONS</t>
  </si>
  <si>
    <t xml:space="preserve">Month</t>
  </si>
  <si>
    <t xml:space="preserve">Creators</t>
  </si>
  <si>
    <t xml:space="preserve">Total Bookings</t>
  </si>
  <si>
    <t xml:space="preserve">Gross Volume ($)</t>
  </si>
  <si>
    <t xml:space="preserve">Commission ($)</t>
  </si>
  <si>
    <t xml:space="preserve">Stripe Fees ($)</t>
  </si>
  <si>
    <t xml:space="preserve">Net Revenue ($)</t>
  </si>
  <si>
    <t xml:space="preserve">24-MONTH TOTAL</t>
  </si>
  <si>
    <t xml:space="preserve">Break-even bookings needed (monthly)</t>
  </si>
  <si>
    <t xml:space="preserve">Stripe Fee Analysis — Net Revenue per Booking</t>
  </si>
  <si>
    <t xml:space="preserve">Shows your actual net on each booking size after Stripe takes their 2.9% + $0.30</t>
  </si>
  <si>
    <t xml:space="preserve">STRIPE ASSUMPTIONS</t>
  </si>
  <si>
    <t xml:space="preserve">Stripe % fee</t>
  </si>
  <si>
    <t xml:space="preserve">Stripe fixed fee ($)</t>
  </si>
  <si>
    <t xml:space="preserve">Your commission %</t>
  </si>
  <si>
    <t xml:space="preserve">Booking Size ($)</t>
  </si>
  <si>
    <t xml:space="preserve">Gross Commission</t>
  </si>
  <si>
    <t xml:space="preserve">Stripe % Fee</t>
  </si>
  <si>
    <t xml:space="preserve">Stripe Fixed</t>
  </si>
  <si>
    <t xml:space="preserve">Total Stripe Cost</t>
  </si>
  <si>
    <t xml:space="preserve">Your Net Revenue</t>
  </si>
  <si>
    <t xml:space="preserve">Effective Net Rate</t>
  </si>
  <si>
    <t xml:space="preserve">Note: Stripe fee is applied to the full booking amount (not just your commission). Adjust the commission % assumption to model split-fee pricing (charging both creator and client).</t>
  </si>
  <si>
    <t xml:space="preserve">Tax Planning — California LLC / Sole Founder</t>
  </si>
  <si>
    <t xml:space="preserve">Not financial/tax advice. Consult a CPA for your specific situation.</t>
  </si>
  <si>
    <t xml:space="preserve">FIXED ANNUAL TAXES (due regardless of revenue)</t>
  </si>
  <si>
    <t xml:space="preserve">CA LLC Minimum Franchise Tax</t>
  </si>
  <si>
    <t xml:space="preserve">Due annually</t>
  </si>
  <si>
    <t xml:space="preserve">Source: CA FTB Form 3522. Due 15th day of 4th month after formation. AB 85 waiver EXPIRED for 2024+ formations (Legal Apr 21) — $800 due year 1.</t>
  </si>
  <si>
    <t xml:space="preserve">Apple Developer Account</t>
  </si>
  <si>
    <t xml:space="preserve">Only if pursuing App Store. Source: developer.apple.com</t>
  </si>
  <si>
    <t xml:space="preserve">REVENUE-BASED TAX RATES (assumptions)</t>
  </si>
  <si>
    <t xml:space="preserve">Self-employment tax rate</t>
  </si>
  <si>
    <t xml:space="preserve">15.3% on net profit (Social Security + Medicare)</t>
  </si>
  <si>
    <t xml:space="preserve">CA state income tax rate (est.)</t>
  </si>
  <si>
    <t xml:space="preserve">9.3% — typical bracket for small biz income in CA</t>
  </si>
  <si>
    <t xml:space="preserve">Federal income tax rate (est.)</t>
  </si>
  <si>
    <t xml:space="preserve">22% bracket — adjust based on total income</t>
  </si>
  <si>
    <t xml:space="preserve">Recommended total tax reserve %</t>
  </si>
  <si>
    <t xml:space="preserve">Rule of thumb: set aside 33% of all platform revenue</t>
  </si>
  <si>
    <t xml:space="preserve">TAX CALCULATOR — Enter Your Monthly Net Revenue</t>
  </si>
  <si>
    <t xml:space="preserve">Monthly net platform revenue ($)</t>
  </si>
  <si>
    <t xml:space="preserve">Change this to model different revenue levels</t>
  </si>
  <si>
    <t xml:space="preserve">Annual net platform revenue ($)</t>
  </si>
  <si>
    <t xml:space="preserve">CA LLC Franchise Tax (annual)</t>
  </si>
  <si>
    <t xml:space="preserve">Self-employment tax (annual)</t>
  </si>
  <si>
    <t xml:space="preserve">CA state income tax (annual, est.)</t>
  </si>
  <si>
    <t xml:space="preserve">Federal income tax (annual, est.)</t>
  </si>
  <si>
    <t xml:space="preserve">TOTAL ANNUAL TAX ESTIMATE</t>
  </si>
  <si>
    <t xml:space="preserve">Monthly tax reserve needed</t>
  </si>
  <si>
    <t xml:space="preserve">Tax as % of revenue (check)</t>
  </si>
  <si>
    <t xml:space="preserve">QUARTERLY ESTIMATED TAX PAYMENTS</t>
  </si>
  <si>
    <t xml:space="preserve">Quarterly payment (÷4)</t>
  </si>
  <si>
    <t xml:space="preserve">Due: Apr 15 / Jun 15 / Sep 15 / Jan 15</t>
  </si>
  <si>
    <t xml:space="preserve">Q1 (Jan–Mar)</t>
  </si>
  <si>
    <t xml:space="preserve">Due: Apr 15</t>
  </si>
  <si>
    <t xml:space="preserve">Q2 (Apr–Jun)</t>
  </si>
  <si>
    <t xml:space="preserve">Due: Jun 15</t>
  </si>
  <si>
    <t xml:space="preserve">Q3 (Jul–Sep)</t>
  </si>
  <si>
    <t xml:space="preserve">Due: Sep 15</t>
  </si>
  <si>
    <t xml:space="preserve">Q4 (Oct–Dec)</t>
  </si>
  <si>
    <t xml:space="preserve">Due: Jan 15</t>
  </si>
  <si>
    <t xml:space="preserve">CA YEAR-1 STATE COST (per Legal Apr 21 + Finance Apr 23)</t>
  </si>
  <si>
    <t xml:space="preserve">LLC-1 filing fee</t>
  </si>
  <si>
    <t xml:space="preserve">Source: bizfileonline.sos.ca.gov, online filing only since 2025</t>
  </si>
  <si>
    <t xml:space="preserve">LLC-12 Statement of Information</t>
  </si>
  <si>
    <t xml:space="preserve">Due within 90 days of formation</t>
  </si>
  <si>
    <t xml:space="preserve">FTB $800 minimum franchise tax (year 1)</t>
  </si>
  <si>
    <t xml:space="preserve">AB 85 EXPIRED. Form 3522. Due 15th day of 4th month after formation (~Aug 2026 if files May 2026).</t>
  </si>
  <si>
    <t xml:space="preserve">CA YEAR-1 TOTAL</t>
  </si>
  <si>
    <t xml:space="preserve">Creator Pro — Phase 2 Subscription Model</t>
  </si>
  <si>
    <t xml:space="preserve">When to launch: after 25 real creators. What Pro unlocks for paying creators.</t>
  </si>
  <si>
    <t xml:space="preserve">CREATOR PRO PERKS (what paying creators get)</t>
  </si>
  <si>
    <t xml:space="preserve">Perk</t>
  </si>
  <si>
    <t xml:space="preserve">Featured map placement</t>
  </si>
  <si>
    <t xml:space="preserve">Pin appears above non-Pro creators in the same area</t>
  </si>
  <si>
    <t xml:space="preserve">Verified badge</t>
  </si>
  <si>
    <t xml:space="preserve">Purple ✓ shown on pin and profile card — builds trust with clients</t>
  </si>
  <si>
    <t xml:space="preserve">Priority in search/filter</t>
  </si>
  <si>
    <t xml:space="preserve">Shows first when clients filter by discipline</t>
  </si>
  <si>
    <t xml:space="preserve">Analytics dashboard</t>
  </si>
  <si>
    <t xml:space="preserve">View count trends, booking conversion rate, profile views over time</t>
  </si>
  <si>
    <t xml:space="preserve">Booking protection</t>
  </si>
  <si>
    <t xml:space="preserve">Payment guaranteed even if client cancels within 24hrs</t>
  </si>
  <si>
    <t xml:space="preserve">Rate card PDF export</t>
  </si>
  <si>
    <t xml:space="preserve">Generate a shareable rate card to send to clients directly</t>
  </si>
  <si>
    <t xml:space="preserve">PRICING TIERS — ASSUMPTIONS (blue = change)</t>
  </si>
  <si>
    <t xml:space="preserve">Tier</t>
  </si>
  <si>
    <t xml:space="preserve">Price/Month</t>
  </si>
  <si>
    <t xml:space="preserve">Annual (÷12)</t>
  </si>
  <si>
    <t xml:space="preserve">Pro Monthly</t>
  </si>
  <si>
    <t xml:space="preserve">Pro Monthly $14/mo per Apr 23 monetization roadmap. Phase 2 trigger at 25 real creators.</t>
  </si>
  <si>
    <t xml:space="preserve">Pro Annual</t>
  </si>
  <si>
    <t xml:space="preserve">Pro Annual $11/mo billed yearly = $132/yr; saves $36 vs $14×12.</t>
  </si>
  <si>
    <t xml:space="preserve">Pro Founding</t>
  </si>
  <si>
    <t xml:space="preserve">Pro Founding $9/mo grandfathered for first 25 real creators. Lock for life.</t>
  </si>
  <si>
    <t xml:space="preserve">TOTAL PRO MONTHLY REVENUE</t>
  </si>
  <si>
    <t xml:space="preserve">LAUNCH SEQUENCE</t>
  </si>
  <si>
    <t xml:space="preserve">Step</t>
  </si>
  <si>
    <t xml:space="preserve">Action</t>
  </si>
  <si>
    <t xml:space="preserve">Detail</t>
  </si>
  <si>
    <t xml:space="preserve">Step 1</t>
  </si>
  <si>
    <t xml:space="preserve">Reach 25 real creators</t>
  </si>
  <si>
    <t xml:space="preserve">Free phase — grow the map. No monetization.</t>
  </si>
  <si>
    <t xml:space="preserve">Step 2</t>
  </si>
  <si>
    <t xml:space="preserve">Soft launch Creator Pro</t>
  </si>
  <si>
    <t xml:space="preserve">Email first 25 creators. Offer Founding rate ($12/mo) to early adopters. No pressure.</t>
  </si>
  <si>
    <t xml:space="preserve">Step 3</t>
  </si>
  <si>
    <t xml:space="preserve">Announce Pro publicly</t>
  </si>
  <si>
    <t xml:space="preserve">TikTok/Reels post showing the verified badge and featured placement. Make it feel exclusive.</t>
  </si>
  <si>
    <t xml:space="preserve">Step 4</t>
  </si>
  <si>
    <t xml:space="preserve">New creators default to Pro trial</t>
  </si>
  <si>
    <t xml:space="preserve">14-day free Pro trial for every new creator who joins. Most will stay.</t>
  </si>
  <si>
    <t xml:space="preserve">Step 5</t>
  </si>
  <si>
    <t xml:space="preserve">Raise price for new creators</t>
  </si>
  <si>
    <t xml:space="preserve">After 6 months: new creators pay $19/mo. Founding creators keep $12/mo forever.</t>
  </si>
  <si>
    <t xml:space="preserve">Payment Processor Comparison — Find Cheapest Option for Shutter</t>
  </si>
  <si>
    <t xml:space="preserve">Lower processor fees = more profit per booking. Sources: official pricing pages, April 2026.</t>
  </si>
  <si>
    <t xml:space="preserve">PROCESSOR RATES</t>
  </si>
  <si>
    <t xml:space="preserve">Processor</t>
  </si>
  <si>
    <t xml:space="preserve">Rate %</t>
  </si>
  <si>
    <t xml:space="preserve">Fixed Fee</t>
  </si>
  <si>
    <t xml:space="preserve">Cards?</t>
  </si>
  <si>
    <t xml:space="preserve">ACH?</t>
  </si>
  <si>
    <t xml:space="preserve">Marketplace?</t>
  </si>
  <si>
    <t xml:space="preserve">Stripe Connect</t>
  </si>
  <si>
    <t xml:space="preserve">✅ Yes</t>
  </si>
  <si>
    <t xml:space="preserve">✅ Yes ($1.50)</t>
  </si>
  <si>
    <t xml:space="preserve">✅ Best-in-class</t>
  </si>
  <si>
    <t xml:space="preserve">Industry standard. Best developer tools &amp; Connect API for marketplace payouts. Recommended for launch.</t>
  </si>
  <si>
    <t xml:space="preserve">Helcim</t>
  </si>
  <si>
    <t xml:space="preserve">⚠️ Manual setup</t>
  </si>
  <si>
    <t xml:space="preserve">Interchange+ pricing. Avg 25% cheaper than Stripe at volume. Less mature marketplace API.</t>
  </si>
  <si>
    <t xml:space="preserve">Braintree (PayPal)</t>
  </si>
  <si>
    <t xml:space="preserve">❌ Limited</t>
  </si>
  <si>
    <t xml:space="preserve">2.59% + $0.49 per card. BUT 0.75% flat for ACH bank transfers — huge savings on large bookings. No monthly fees. Note: $50K free promotion was discontinued in 2016.</t>
  </si>
  <si>
    <t xml:space="preserve">Dwolla (ACH only)</t>
  </si>
  <si>
    <t xml:space="preserve">❌ No</t>
  </si>
  <si>
    <t xml:space="preserve">✅ Cheapest</t>
  </si>
  <si>
    <t xml:space="preserve">ACH bank transfers only — no credit cards. Usage-based pricing, contact for quote. ~$0.25-$1 per txn. Best for large bookings.</t>
  </si>
  <si>
    <t xml:space="preserve">PayPal Payouts</t>
  </si>
  <si>
    <t xml:space="preserve">❌</t>
  </si>
  <si>
    <t xml:space="preserve">⚠️ Limited</t>
  </si>
  <si>
    <t xml:space="preserve">Most expensive option. 3.49% + $0.49. Not recommended.</t>
  </si>
  <si>
    <t xml:space="preserve">Square</t>
  </si>
  <si>
    <t xml:space="preserve">❌ No marketplace</t>
  </si>
  <si>
    <t xml:space="preserve">Same rate as Stripe but no marketplace/Connect equivalent. Not suitable for Shutter.</t>
  </si>
  <si>
    <t xml:space="preserve">COST COMPARISON BY BOOKING SIZE — What each processor costs you per transaction</t>
  </si>
  <si>
    <t xml:space="preserve">Booking Size</t>
  </si>
  <si>
    <t xml:space="preserve">Stripe</t>
  </si>
  <si>
    <t xml:space="preserve">Braintree*</t>
  </si>
  <si>
    <t xml:space="preserve">Dwolla ACH</t>
  </si>
  <si>
    <t xml:space="preserve">Savings vs Stripe (Helcim)</t>
  </si>
  <si>
    <t xml:space="preserve">Best Choice</t>
  </si>
  <si>
    <t xml:space="preserve">RECOMMENDATION FOR SHUTTER</t>
  </si>
  <si>
    <t xml:space="preserve">Reason</t>
  </si>
  <si>
    <t xml:space="preserve">🚀  Launch (now)</t>
  </si>
  <si>
    <t xml:space="preserve">Best docs, best marketplace API, easiest to implement. Worth the cost at low volume.</t>
  </si>
  <si>
    <t xml:space="preserve">📈  Early traction</t>
  </si>
  <si>
    <t xml:space="preserve">Braintree</t>
  </si>
  <si>
    <t xml:space="preserve">2.59% + $0.49 per card — slightly cheaper than Stripe at scale. Its ACH rate (0.75% flat) is excellent for large bookings. Consider offering ACH as a payment option.</t>
  </si>
  <si>
    <t xml:space="preserve">💰  Scale ($5K+/mo txns)</t>
  </si>
  <si>
    <t xml:space="preserve">Helcim + Dwolla ACH</t>
  </si>
  <si>
    <t xml:space="preserve">Offer bank transfer (ACH via Dwolla) as a cheaper option for large bookings. Creators doing $1,500+ shoots save ~$30/booking by paying via ACH.</t>
  </si>
  <si>
    <t xml:space="preserve">🎯  Long-term</t>
  </si>
  <si>
    <t xml:space="preserve">Negotiate with Adyen</t>
  </si>
  <si>
    <t xml:space="preserve">At $1M+/year in processing, Adyen offers interchange++ pricing well below 2%. Requires enterprise contract.</t>
  </si>
  <si>
    <t xml:space="preserve">⚠️ Correction: Braintree's $50K free processing promotion ("Ignition") was discontinued in November 2016 and is no longer available. Current Braintree rates: 2.59% + $0.49 (cards), 0.75% (ACH). Source: helloari.com/blog, techcrunch.com/2012, April 2026.</t>
  </si>
  <si>
    <t xml:space="preserve">Partial-Refund Cash Flow — Option (a) Ruling (Finance Apr 23)</t>
  </si>
  <si>
    <t xml:space="preserve">Platform retains 100% of 8% service fee on consummated bookings; refund deducted from client share only.</t>
  </si>
  <si>
    <t xml:space="preserve">Aligns with Stripe API: cancel-booking Edge Function ships in prompt v3 (Dev Apr 29).</t>
  </si>
  <si>
    <t xml:space="preserve">ASSUMPTIONS (blue = change)</t>
  </si>
  <si>
    <t xml:space="preserve">Original booking ($)</t>
  </si>
  <si>
    <t xml:space="preserve">Edit to model different booking sizes</t>
  </si>
  <si>
    <t xml:space="preserve">Platform service fee %</t>
  </si>
  <si>
    <t xml:space="preserve">8% flat (Orchestrator Apr 20 ruling, locked)</t>
  </si>
  <si>
    <t xml:space="preserve">Refund %</t>
  </si>
  <si>
    <t xml:space="preserve">Refund $</t>
  </si>
  <si>
    <t xml:space="preserve">Creator earns</t>
  </si>
  <si>
    <t xml:space="preserve">Platform earns</t>
  </si>
  <si>
    <t xml:space="preserve">Client out-of-pocket</t>
  </si>
  <si>
    <t xml:space="preserve">Stripe API call</t>
  </si>
  <si>
    <t xml:space="preserve">72h+ before shoot — full refund</t>
  </si>
  <si>
    <t xml:space="preserve">refund_application_fee=true + reverse_transfer=true</t>
  </si>
  <si>
    <t xml:space="preserve">24–72h before shoot — 50% refund</t>
  </si>
  <si>
    <t xml:space="preserve">refund_application_fee=false (platform keeps full fee)</t>
  </si>
  <si>
    <t xml:space="preserve">&lt;24h before shoot — no refund</t>
  </si>
  <si>
    <t xml:space="preserve">No Stripe call. status = cancelled_no_refund</t>
  </si>
  <si>
    <t xml:space="preserve">Weather (14-day reschedule hold)</t>
  </si>
  <si>
    <t xml:space="preserve">No refund fires. If window expires → auto-convert to 50% tier.</t>
  </si>
  <si>
    <t xml:space="preserve">KEY NOTES</t>
  </si>
  <si>
    <t xml:space="preserve">• Bookings.amount_total in DB is stored in DOLLARS, not cents (Apr 29 schema gotcha). cancel-booking converts to cents before stripe.refunds.create.</t>
  </si>
  <si>
    <t xml:space="preserve">• Platform_fee_remaining column tracks the earned fee post partial-refund for QuickBooks reconciliation.</t>
  </si>
  <si>
    <t xml:space="preserve">• Stripe processing fees (2.9% + $0.30) are non-refundable from Stripe regardless of tier and are paid out of client charge at time of capture.</t>
  </si>
  <si>
    <t xml:space="preserve">• Industry precedent: Airbnb / GetYourGuide / Peerspace all retain platform cut on late cancellations. Defensible under CA Civ. Code § 1671(b) per Legal Apr 28.</t>
  </si>
  <si>
    <t xml:space="preserve">• TOS disclosure (approved by Orchestrator Apr 27, validated by Legal Apr 28): "Cancellations 24–72h before a shoot receive a 50% refund of the creator's share; the platform service fee is non-refundable once a booking has been accepted."</t>
  </si>
  <si>
    <t xml:space="preserve">P&amp;L Taxonomy for QuickBooks (post-Mercury onboarding)</t>
  </si>
  <si>
    <t xml:space="preserve">Apply once Mercury → QuickBooks is connected. Pre-spec so tags are consistent from the first transaction.</t>
  </si>
  <si>
    <t xml:space="preserve">INCOME ACCOUNTS</t>
  </si>
  <si>
    <t xml:space="preserve">Account tag</t>
  </si>
  <si>
    <t xml:space="preserve">When it triggers</t>
  </si>
  <si>
    <t xml:space="preserve">revenue.platform_fee</t>
  </si>
  <si>
    <t xml:space="preserve">8% service fee earned on completed bookings</t>
  </si>
  <si>
    <t xml:space="preserve">Phase 1 onward (live in code Apr 20)</t>
  </si>
  <si>
    <t xml:space="preserve">revenue.platform_fee.retained_from_refund</t>
  </si>
  <si>
    <t xml:space="preserve">Fee portion retained after partial refunds (24–72h tier)</t>
  </si>
  <si>
    <t xml:space="preserve">cancel-booking ships in prompt v3 (Dev Apr 29)</t>
  </si>
  <si>
    <t xml:space="preserve">revenue.creator_pro_subscription</t>
  </si>
  <si>
    <t xml:space="preserve">$14/mo Creator Pro (Phase 2)</t>
  </si>
  <si>
    <t xml:space="preserve">Trigger: 25 real creators</t>
  </si>
  <si>
    <t xml:space="preserve">revenue.gig_boost</t>
  </si>
  <si>
    <t xml:space="preserve">Phase 2+ paid gig-promotion lever</t>
  </si>
  <si>
    <t xml:space="preserve">Phase 2 — TBD</t>
  </si>
  <si>
    <t xml:space="preserve">revenue.brand_partnership</t>
  </si>
  <si>
    <t xml:space="preserve">Phase 3+ resort/brand sponsored spotlights</t>
  </si>
  <si>
    <t xml:space="preserve">Phase 3 — Palisades/Heavenly/Northstar</t>
  </si>
  <si>
    <t xml:space="preserve">EXPENSE ACCOUNTS</t>
  </si>
  <si>
    <t xml:space="preserve">cost_of_revenue.stripe_fees</t>
  </si>
  <si>
    <t xml:space="preserve">Stripe 2.9% + $0.30 processing cost (passed through, tracked for margin)</t>
  </si>
  <si>
    <t xml:space="preserve">Every paid booking</t>
  </si>
  <si>
    <t xml:space="preserve">cost_of_revenue.stripe_connect_payout_fee</t>
  </si>
  <si>
    <t xml:space="preserve">Express payout fee (0.25% + $0.25 per payout)</t>
  </si>
  <si>
    <t xml:space="preserve">Every creator payout</t>
  </si>
  <si>
    <t xml:space="preserve">opex.infra.hosting</t>
  </si>
  <si>
    <t xml:space="preserve">Free tier through ~100 creators</t>
  </si>
  <si>
    <t xml:space="preserve">opex.infra.backend</t>
  </si>
  <si>
    <t xml:space="preserve">Free tier through ~50k MAU</t>
  </si>
  <si>
    <t xml:space="preserve">opex.infra.email</t>
  </si>
  <si>
    <t xml:space="preserve">Free tier &lt;3k emails/mo. Domain shutterfind.app verified Apr 29</t>
  </si>
  <si>
    <t xml:space="preserve">opex.infra.mapping</t>
  </si>
  <si>
    <t xml:space="preserve">Free tier &lt;50k loads/mo</t>
  </si>
  <si>
    <t xml:space="preserve">opex.software.accounting</t>
  </si>
  <si>
    <t xml:space="preserve">QuickBooks subscription (if paid tier needed)</t>
  </si>
  <si>
    <t xml:space="preserve">Defer until Mercury connected</t>
  </si>
  <si>
    <t xml:space="preserve">opex.legal_and_compliance.llc_filings</t>
  </si>
  <si>
    <t xml:space="preserve">LLC-1, LLC-12, registered agent</t>
  </si>
  <si>
    <t xml:space="preserve">$70 + $20 + ($0 self / $125 NW)</t>
  </si>
  <si>
    <t xml:space="preserve">opex.legal_and_compliance.trademark</t>
  </si>
  <si>
    <t xml:space="preserve">USPTO fees, comp. search</t>
  </si>
  <si>
    <t xml:space="preserve">DEFERRED per Patrick Apr 21</t>
  </si>
  <si>
    <t xml:space="preserve">opex.legal_and_compliance.franchise_tax</t>
  </si>
  <si>
    <t xml:space="preserve">CA $800 annual (FTB Form 3522)</t>
  </si>
  <si>
    <t xml:space="preserve">AB 85 EXPIRED. Year-1 ~Aug 15 if LLC files May</t>
  </si>
  <si>
    <t xml:space="preserve">opex.insurance</t>
  </si>
  <si>
    <t xml:space="preserve">GL + E&amp;O</t>
  </si>
  <si>
    <t xml:space="preserve">Recommend before first real booking (~$30–60/mo)</t>
  </si>
  <si>
    <t xml:space="preserve">opex.domains_and_web</t>
  </si>
  <si>
    <t xml:space="preserve">Domain renewals</t>
  </si>
  <si>
    <t xml:space="preserve">shutterfind.app at Cloudflare ~$20/yr</t>
  </si>
  <si>
    <t xml:space="preserve">paid_media_spend.meta_creator</t>
  </si>
  <si>
    <t xml:space="preserve">Marketing Campaign A — creator recruitment</t>
  </si>
  <si>
    <t xml:space="preserve">Off-P&amp;L until 6-precondition gate clears</t>
  </si>
  <si>
    <t xml:space="preserve">paid_media_spend.meta_client</t>
  </si>
  <si>
    <t xml:space="preserve">Marketing Campaign B — client demand-gen</t>
  </si>
  <si>
    <t xml:space="preserve">Off-P&amp;L until gate clears</t>
  </si>
  <si>
    <t xml:space="preserve">paid_media_spend.tiktok</t>
  </si>
  <si>
    <t xml:space="preserve">TikTok Spark Ads</t>
  </si>
  <si>
    <t xml:space="preserve">paid_media_spend.boost_organic</t>
  </si>
  <si>
    <t xml:space="preserve">TikTok/IG organic boost reserve</t>
  </si>
  <si>
    <t xml:space="preserve">marketing_irl_print</t>
  </si>
  <si>
    <t xml:space="preserve">IRL print run (stickers, posters, business cards)</t>
  </si>
  <si>
    <t xml:space="preserve">NEW Apr 30 — $30 sticker print Stickermule (Marketing Apr 29)</t>
  </si>
  <si>
    <t xml:space="preserve">opex.founder_draw</t>
  </si>
  <si>
    <t xml:space="preserve">Non-deductible owner distribution (tracked separately)</t>
  </si>
  <si>
    <t xml:space="preserve">Reconcile per quarter</t>
  </si>
  <si>
    <t xml:space="preserve">MERCURY SUB-ACCOUNTS → QuickBooks class mapping</t>
  </si>
  <si>
    <t xml:space="preserve">Mercury sub-account</t>
  </si>
  <si>
    <t xml:space="preserve">Purpose</t>
  </si>
  <si>
    <t xml:space="preserve">QB class</t>
  </si>
  <si>
    <t xml:space="preserve">Mercury:operating</t>
  </si>
  <si>
    <t xml:space="preserve">Day-to-day cash, default class</t>
  </si>
  <si>
    <t xml:space="preserve">Operating</t>
  </si>
  <si>
    <t xml:space="preserve">Mercury:taxes_reserve</t>
  </si>
  <si>
    <t xml:space="preserve">30% of platform-fee income set aside for federal + CA pass-through</t>
  </si>
  <si>
    <t xml:space="preserve">TaxReserve</t>
  </si>
  <si>
    <t xml:space="preserve">Mercury:paid_media</t>
  </si>
  <si>
    <t xml:space="preserve">$500/mo paid-media ceiling, debit-card spend cap enforced</t>
  </si>
  <si>
    <t xml:space="preserve">PaidMedia</t>
  </si>
  <si>
    <t xml:space="preserve">Mercury:legal_filing_reserve</t>
  </si>
  <si>
    <t xml:space="preserve">$800 FTB set-aside (year 1 due Aug 2026 if files May)</t>
  </si>
  <si>
    <t xml:space="preserve">LegalReserve</t>
  </si>
  <si>
    <t xml:space="preserve">Mercury Application — Pre-Stage Checklist</t>
  </si>
  <si>
    <t xml:space="preserve">Status as of April 30, 2026: BLOCKED on Patrick filing CA LLC-1.</t>
  </si>
  <si>
    <t xml:space="preserve">Submit-target: same-day after Patrick lands stamped Articles of Organization + EIN (CP 575).</t>
  </si>
  <si>
    <t xml:space="preserve">PRE-POPULATED APPLICATION FIELDS</t>
  </si>
  <si>
    <t xml:space="preserve">Field</t>
  </si>
  <si>
    <t xml:space="preserve">Value</t>
  </si>
  <si>
    <t xml:space="preserve">Source / Note</t>
  </si>
  <si>
    <t xml:space="preserve">Legal business name</t>
  </si>
  <si>
    <t xml:space="preserve">Shutter Find LLC</t>
  </si>
  <si>
    <t xml:space="preserve">Orchestrator ruling Apr 16</t>
  </si>
  <si>
    <t xml:space="preserve">DBA / trade name</t>
  </si>
  <si>
    <t xml:space="preserve">Shutter</t>
  </si>
  <si>
    <t xml:space="preserve">Entity type</t>
  </si>
  <si>
    <t xml:space="preserve">LLC — single-member</t>
  </si>
  <si>
    <t xml:space="preserve">Legal Apr 21</t>
  </si>
  <si>
    <t xml:space="preserve">State of formation</t>
  </si>
  <si>
    <t xml:space="preserve">California</t>
  </si>
  <si>
    <t xml:space="preserve">EIN</t>
  </si>
  <si>
    <t xml:space="preserve">PENDING — Patrick to retrieve from irs.gov/ein after LLC cert</t>
  </si>
  <si>
    <t xml:space="preserve">Legal checklist</t>
  </si>
  <si>
    <t xml:space="preserve">Business address</t>
  </si>
  <si>
    <t xml:space="preserve">Patrick Yun — Truckee, CA (private; not stored in brain)</t>
  </si>
  <si>
    <t xml:space="preserve">Personal data</t>
  </si>
  <si>
    <t xml:space="preserve">Mailing address</t>
  </si>
  <si>
    <t xml:space="preserve">Same as business</t>
  </si>
  <si>
    <t xml:space="preserve">—</t>
  </si>
  <si>
    <t xml:space="preserve">Industry classification</t>
  </si>
  <si>
    <t xml:space="preserve">Online marketplaces (use this dropdown value)</t>
  </si>
  <si>
    <t xml:space="preserve">Finance recommendation</t>
  </si>
  <si>
    <t xml:space="preserve">Business description</t>
  </si>
  <si>
    <t xml:space="preserve">Map-first online marketplace connecting clients with freelance outdoor-sports photographers, videographers, drone operators, and models. Revenue model: 8% platform service fee on completed bookings via Stripe Connect Express. Launch beachhead Lake Tahoe; expansion to other US mountain and surf towns Phase 2+.</t>
  </si>
  <si>
    <t xml:space="preserve">Finance — Apr 30 update reflects mountain/surf scope per Patrick Apr 29</t>
  </si>
  <si>
    <t xml:space="preserve">Estimated monthly revenue</t>
  </si>
  <si>
    <t xml:space="preserve">$0 for first 60 days; scale per creator-count gates</t>
  </si>
  <si>
    <t xml:space="preserve">Finance</t>
  </si>
  <si>
    <t xml:space="preserve">Estimated monthly transactions</t>
  </si>
  <si>
    <t xml:space="preserve">0–5 first 30 days; 10–25 MoM 60–90 days post-ads</t>
  </si>
  <si>
    <t xml:space="preserve">Customer locations</t>
  </si>
  <si>
    <t xml:space="preserve">United States, primarily California + Nevada</t>
  </si>
  <si>
    <t xml:space="preserve">Payment processor</t>
  </si>
  <si>
    <t xml:space="preserve">Stripe Connect Express</t>
  </si>
  <si>
    <t xml:space="preserve">Dev decision Apr 20</t>
  </si>
  <si>
    <t xml:space="preserve">Sources of funds</t>
  </si>
  <si>
    <t xml:space="preserve">Founder contribution (bootstrap) + future revenue share</t>
  </si>
  <si>
    <t xml:space="preserve">Founder identity</t>
  </si>
  <si>
    <t xml:space="preserve">Patrick Yun, sole member, 100% ownership</t>
  </si>
  <si>
    <t xml:space="preserve">Legal OA template</t>
  </si>
  <si>
    <t xml:space="preserve">Founder role</t>
  </si>
  <si>
    <t xml:space="preserve">CEO &amp; Founder</t>
  </si>
  <si>
    <t xml:space="preserve">Business website</t>
  </si>
  <si>
    <t xml:space="preserve">https://shutterfind.app</t>
  </si>
  <si>
    <t xml:space="preserve">Domain registered Apr 29; HTTPS live</t>
  </si>
  <si>
    <t xml:space="preserve">DOCUMENTS REQUIRED AT SUBMISSION</t>
  </si>
  <si>
    <t xml:space="preserve">Document</t>
  </si>
  <si>
    <t xml:space="preserve">Status (Apr 30)</t>
  </si>
  <si>
    <t xml:space="preserve">Stamped Articles of Organization (Form LLC-1)</t>
  </si>
  <si>
    <t xml:space="preserve">⏳ BLOCKED — Patrick has not yet filed LLC-1</t>
  </si>
  <si>
    <t xml:space="preserve">bizfileonline.sos.ca.gov, $70, ~5 biz day approval</t>
  </si>
  <si>
    <t xml:space="preserve">EIN Letter (IRS Form CP 575)</t>
  </si>
  <si>
    <t xml:space="preserve">⏳ BLOCKED — pending LLC cert</t>
  </si>
  <si>
    <t xml:space="preserve">irs.gov/ein, free, instant after LLC issues</t>
  </si>
  <si>
    <t xml:space="preserve">Signed Operating Agreement</t>
  </si>
  <si>
    <t xml:space="preserve">🟡 Template ready — Patrick to fill 5 fields + sign</t>
  </si>
  <si>
    <t xml:space="preserve">legal/ShutterFind_Operating_Agreement_template.md</t>
  </si>
  <si>
    <t xml:space="preserve">Patrick's government-issued photo ID</t>
  </si>
  <si>
    <t xml:space="preserve">✅ On hand</t>
  </si>
  <si>
    <t xml:space="preserve">Proof of business address</t>
  </si>
  <si>
    <t xml:space="preserve">✅ On hand if needed (utility bill / lease)</t>
  </si>
  <si>
    <t xml:space="preserve">Only if business address ≠ ID address</t>
  </si>
  <si>
    <t xml:space="preserve">ESTIMATED SUBMISSION TIMELINE</t>
  </si>
  <si>
    <t xml:space="preserve">Days from Patrick filing LLC-1</t>
  </si>
  <si>
    <t xml:space="preserve">Owner</t>
  </si>
  <si>
    <t xml:space="preserve">Patrick files LLC-1 online (BizFile)</t>
  </si>
  <si>
    <t xml:space="preserve">Day 0</t>
  </si>
  <si>
    <t xml:space="preserve">Patrick</t>
  </si>
  <si>
    <t xml:space="preserve">California SOS approves Articles</t>
  </si>
  <si>
    <t xml:space="preserve">~Day 5 (biz)</t>
  </si>
  <si>
    <t xml:space="preserve">CA SOS</t>
  </si>
  <si>
    <t xml:space="preserve">Patrick applies for EIN at irs.gov/ein</t>
  </si>
  <si>
    <t xml:space="preserve">Same day as approval</t>
  </si>
  <si>
    <t xml:space="preserve">Patrick signs Operating Agreement</t>
  </si>
  <si>
    <t xml:space="preserve">Same day</t>
  </si>
  <si>
    <t xml:space="preserve">Finance Agent submits Mercury application</t>
  </si>
  <si>
    <t xml:space="preserve">Day 5–6</t>
  </si>
  <si>
    <t xml:space="preserve">Mercury approval + account/routing issued</t>
  </si>
  <si>
    <t xml:space="preserve">Day 7–9</t>
  </si>
  <si>
    <t xml:space="preserve">Mercury</t>
  </si>
  <si>
    <t xml:space="preserve">Mercury debit card ships</t>
  </si>
  <si>
    <t xml:space="preserve">Day 12–15</t>
  </si>
  <si>
    <t xml:space="preserve">Stripe Connect platform-fee payout target wired up</t>
  </si>
  <si>
    <t xml:space="preserve">Day 8 (after approval)</t>
  </si>
  <si>
    <t xml:space="preserve">Finance + Dev</t>
  </si>
  <si>
    <t xml:space="preserve">Year-1 Pre-Revenue Runway (Apr 30 refresh)</t>
  </si>
  <si>
    <t xml:space="preserve">Absorbs AB 85 correction (Legal Apr 21) + $30 sticker print (Marketing Apr 29). All values in USD.</t>
  </si>
  <si>
    <t xml:space="preserve">CATEGORY</t>
  </si>
  <si>
    <t xml:space="preserve">Low ($)</t>
  </si>
  <si>
    <t xml:space="preserve">High ($)</t>
  </si>
  <si>
    <t xml:space="preserve">CA LLC + franchise tax + SOI</t>
  </si>
  <si>
    <t xml:space="preserve">Fixed: $70 LLC-1 + $20 LLC-12 + $800 FTB. AB 85 EXPIRED.</t>
  </si>
  <si>
    <t xml:space="preserve">USPTO TEAS Plus (2 classes)</t>
  </si>
  <si>
    <t xml:space="preserve">DEFERRED per Patrick Apr 21; common-law rights cover early stage.</t>
  </si>
  <si>
    <t xml:space="preserve">Optional USPTO comprehensive search</t>
  </si>
  <si>
    <t xml:space="preserve">Gerben Law or equivalent. DEFERRED with TM filing.</t>
  </si>
  <si>
    <t xml:space="preserve">Domain shutterfind.app</t>
  </si>
  <si>
    <t xml:space="preserve">Cloudflare Registrar registered Apr 29 (.app TLD).</t>
  </si>
  <si>
    <t xml:space="preserve">Domain shutter.app (optional)</t>
  </si>
  <si>
    <t xml:space="preserve">Optional — currently NOT registered.</t>
  </si>
  <si>
    <t xml:space="preserve">Business insurance (GL + E&amp;O, 6 mo prorate)</t>
  </si>
  <si>
    <t xml:space="preserve">Recommend before first real booking.</t>
  </si>
  <si>
    <t xml:space="preserve">Accounting / bookkeeping (DIY via Mercury)</t>
  </si>
  <si>
    <t xml:space="preserve">Infra (Netlify + Supabase + Resend + Mapbox + GitHub)</t>
  </si>
  <si>
    <t xml:space="preserve">Free tiers through ~100 creators.</t>
  </si>
  <si>
    <t xml:space="preserve">D-U-N-S number</t>
  </si>
  <si>
    <t xml:space="preserve">Free for future App Store enrollment.</t>
  </si>
  <si>
    <t xml:space="preserve">Apple Developer Program</t>
  </si>
  <si>
    <t xml:space="preserve">$99/yr. HOLD until LLC + Stripe E2E green.</t>
  </si>
  <si>
    <t xml:space="preserve">Registered agent (Northwest Reg. Agent)</t>
  </si>
  <si>
    <t xml:space="preserve">Optional — Patrick can self-serve free at Truckee address.</t>
  </si>
  <si>
    <t xml:space="preserve">Marketing IRL print (stickers — Stickermule)</t>
  </si>
  <si>
    <t xml:space="preserve">NEW Apr 30 — $0 paid-media but real expense. Tag: marketing_irl_print.</t>
  </si>
  <si>
    <t xml:space="preserve">YEAR-1 NO-REVENUE TOTAL</t>
  </si>
  <si>
    <t xml:space="preserve">Realistic range $2,000–$2,800 incl. trademark deferral resolution.</t>
  </si>
  <si>
    <t xml:space="preserve">CA FTB $800 — TIMING WINDOW</t>
  </si>
  <si>
    <t xml:space="preserve">Trigger:</t>
  </si>
  <si>
    <t xml:space="preserve">15th day of 4th month after LLC formation date</t>
  </si>
  <si>
    <t xml:space="preserve">If Patrick files LLC-1 May 1, 2026 →</t>
  </si>
  <si>
    <t xml:space="preserve">Approval ~May 6 → FTB $800 due Aug 15, 2026</t>
  </si>
  <si>
    <t xml:space="preserve">If Patrick files LLC-1 May 15, 2026 →</t>
  </si>
  <si>
    <t xml:space="preserve">Approval ~May 22 → FTB $800 due Sep 15, 2026</t>
  </si>
  <si>
    <t xml:space="preserve">Patrick must budget $800 for Q3 2026 — set aside in Mercury:legal_filing_reserve sub-account.</t>
  </si>
  <si>
    <t xml:space="preserve">PAID-MEDIA CONTINGENCY (off-P&amp;L until 6-precondition gate clears)</t>
  </si>
  <si>
    <t xml:space="preserve">Monthly cap</t>
  </si>
  <si>
    <t xml:space="preserve">Mercury debit card per-card spend cap enforces hard ceiling.</t>
  </si>
  <si>
    <t xml:space="preserve">Annualized worst-case (12 mo)</t>
  </si>
  <si>
    <t xml:space="preserve">Realistic exposure (3 mo before revenue offset)</t>
  </si>
  <si>
    <t xml:space="preserve">Geo-ads launch gate (6 preconditions, Marketing Apr 29):</t>
  </si>
  <si>
    <t xml:space="preserve">✅ Custom domain live (shutterfind.app — Apr 29)</t>
  </si>
  <si>
    <t xml:space="preserve">✅ Stripe webhook live (Apr 21)</t>
  </si>
  <si>
    <t xml:space="preserve">✅ Legal mark-usage sign-off (Apr 28)</t>
  </si>
  <si>
    <t xml:space="preserve">⏳ 15 real creators (currently 0 / 7 seeded)</t>
  </si>
  <si>
    <t xml:space="preserve">⏳ Pixels installed</t>
  </si>
  <si>
    <t xml:space="preserve">⏳ SB-478 fee disclosure verified (Dev to screenshot test-mode checkout)</t>
  </si>
  <si>
    <t xml:space="preserve">⏳ Brand handle claimed + 1 organic post (@shutterapp / @shutterfind)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</si>
</sst>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-0.0%;\-"/>
    <numFmt numFmtId="167" formatCode="\$#,##0.00;&quot;($&quot;#,##0.00\);\-"/>
    <numFmt numFmtId="168" formatCode="#,##0.0;\-#,##0.0;\-"/>
    <numFmt numFmtId="169" formatCode="#,##0;\-#,##0;\-"/>
    <numFmt numFmtId="170" formatCode="\$#,##0;&quot;($&quot;#,##0\);\-"/>
    <numFmt numFmtId="171" formatCode="0.0%;\(0.0%\);\-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AAAA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6E3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7C6AF7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i val="true"/>
      <sz val="8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991B1B"/>
      <name val="Arial"/>
      <family val="0"/>
      <charset val="1"/>
    </font>
    <font>
      <i val="true"/>
      <sz val="9"/>
      <color rgb="FF991B1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i val="true"/>
      <sz val="9"/>
      <color rgb="FF1A6E3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A6E3C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Consolas"/>
      <family val="0"/>
      <charset val="1"/>
    </font>
    <font>
      <sz val="10"/>
      <color rgb="FF6B7280"/>
      <name val="Arial"/>
      <family val="0"/>
      <charset val="1"/>
    </font>
    <font>
      <i val="true"/>
      <sz val="11"/>
      <color rgb="FFB91C1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2A4A"/>
        <bgColor rgb="FF1F2937"/>
      </patternFill>
    </fill>
    <fill>
      <patternFill patternType="solid">
        <fgColor rgb="FF2D3561"/>
        <bgColor rgb="FF1E2A4A"/>
      </patternFill>
    </fill>
    <fill>
      <patternFill patternType="solid">
        <fgColor rgb="FF7C6AF7"/>
        <bgColor rgb="FF6B7280"/>
      </patternFill>
    </fill>
    <fill>
      <patternFill patternType="solid">
        <fgColor rgb="FFF8F8F8"/>
        <bgColor rgb="FFFFFBEB"/>
      </patternFill>
    </fill>
    <fill>
      <patternFill patternType="solid">
        <fgColor rgb="FFFFFFFF"/>
        <bgColor rgb="FFF8F8F8"/>
      </patternFill>
    </fill>
    <fill>
      <patternFill patternType="solid">
        <fgColor rgb="FF1A6E3C"/>
        <bgColor rgb="FF008000"/>
      </patternFill>
    </fill>
    <fill>
      <patternFill patternType="solid">
        <fgColor rgb="FFE6F4EC"/>
        <bgColor rgb="FFE8E8E8"/>
      </patternFill>
    </fill>
    <fill>
      <patternFill patternType="solid">
        <fgColor rgb="FFFDE8E8"/>
        <bgColor rgb="FFFFF4E6"/>
      </patternFill>
    </fill>
    <fill>
      <patternFill patternType="solid">
        <fgColor rgb="FFFFFBEB"/>
        <bgColor rgb="FFFFF9E6"/>
      </patternFill>
    </fill>
    <fill>
      <patternFill patternType="solid">
        <fgColor rgb="FFFFF4E6"/>
        <bgColor rgb="FFFFF9E6"/>
      </patternFill>
    </fill>
    <fill>
      <patternFill patternType="solid">
        <fgColor rgb="FFEDE9FE"/>
        <bgColor rgb="FFE8E8E8"/>
      </patternFill>
    </fill>
    <fill>
      <patternFill patternType="solid">
        <fgColor rgb="FFE8E8E8"/>
        <bgColor rgb="FFEDE9FE"/>
      </patternFill>
    </fill>
    <fill>
      <patternFill patternType="solid">
        <fgColor rgb="FFB45309"/>
        <bgColor rgb="FF92400E"/>
      </patternFill>
    </fill>
    <fill>
      <patternFill patternType="solid">
        <fgColor rgb="FF991B1B"/>
        <bgColor rgb="FFB91C1C"/>
      </patternFill>
    </fill>
    <fill>
      <patternFill patternType="solid">
        <fgColor rgb="FFFFF9E6"/>
        <bgColor rgb="FFFFFBEB"/>
      </patternFill>
    </fill>
    <fill>
      <patternFill patternType="solid">
        <fgColor rgb="FF1F2937"/>
        <bgColor rgb="FF1E2A4A"/>
      </patternFill>
    </fill>
    <fill>
      <patternFill patternType="solid">
        <fgColor rgb="FFFEF3C7"/>
        <bgColor rgb="FFFFF4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1A6E3C"/>
      <rgbColor rgb="FFEDE9FE"/>
      <rgbColor rgb="FF888888"/>
      <rgbColor rgb="FFAAAAFF"/>
      <rgbColor rgb="FFB91C1C"/>
      <rgbColor rgb="FFFEF3C7"/>
      <rgbColor rgb="FFE6F4EC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8F8F8"/>
      <rgbColor rgb="FFFFF9E6"/>
      <rgbColor rgb="FFFFF4E6"/>
      <rgbColor rgb="FFFFFBEB"/>
      <rgbColor rgb="FFCC99FF"/>
      <rgbColor rgb="FFFDE8E8"/>
      <rgbColor rgb="FF7C6AF7"/>
      <rgbColor rgb="FF33CCCC"/>
      <rgbColor rgb="FF99CC00"/>
      <rgbColor rgb="FFFFCC00"/>
      <rgbColor rgb="FFFF9900"/>
      <rgbColor rgb="FFFF6600"/>
      <rgbColor rgb="FF6B7280"/>
      <rgbColor rgb="FFAAAAAA"/>
      <rgbColor rgb="FF1E2A4A"/>
      <rgbColor rgb="FF339966"/>
      <rgbColor rgb="FF003300"/>
      <rgbColor rgb="FF555555"/>
      <rgbColor rgb="FF92400E"/>
      <rgbColor rgb="FFB45309"/>
      <rgbColor rgb="FF2D356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8"/>
    <col collapsed="false" customWidth="true" hidden="false" outlineLevel="0" max="7" min="6" style="1" width="22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5"/>
    </row>
    <row r="5" customFormat="false" ht="18" hidden="false" customHeight="true" outlineLevel="0" collapsed="false">
      <c r="A5" s="6" t="s">
        <v>4</v>
      </c>
      <c r="B5" s="7" t="n">
        <v>1000</v>
      </c>
      <c r="C5" s="5" t="s">
        <v>5</v>
      </c>
      <c r="D5" s="5"/>
      <c r="E5" s="5"/>
      <c r="F5" s="5"/>
      <c r="G5" s="5"/>
    </row>
    <row r="6" customFormat="false" ht="18" hidden="false" customHeight="true" outlineLevel="0" collapsed="false">
      <c r="A6" s="6" t="s">
        <v>6</v>
      </c>
      <c r="B6" s="8" t="n">
        <v>0.08</v>
      </c>
      <c r="C6" s="5" t="s">
        <v>7</v>
      </c>
      <c r="D6" s="5"/>
      <c r="E6" s="5"/>
      <c r="F6" s="5"/>
      <c r="G6" s="5"/>
    </row>
    <row r="7" customFormat="false" ht="18" hidden="false" customHeight="true" outlineLevel="0" collapsed="false">
      <c r="A7" s="6" t="s">
        <v>8</v>
      </c>
      <c r="B7" s="8" t="n">
        <v>0</v>
      </c>
      <c r="C7" s="5" t="s">
        <v>9</v>
      </c>
      <c r="D7" s="5"/>
      <c r="E7" s="5"/>
      <c r="F7" s="5"/>
      <c r="G7" s="5"/>
    </row>
    <row r="8" customFormat="false" ht="18" hidden="false" customHeight="true" outlineLevel="0" collapsed="false">
      <c r="A8" s="6" t="s">
        <v>10</v>
      </c>
      <c r="B8" s="8" t="n">
        <v>0.029</v>
      </c>
      <c r="C8" s="5" t="s">
        <v>11</v>
      </c>
      <c r="D8" s="5"/>
      <c r="E8" s="5"/>
      <c r="F8" s="5"/>
      <c r="G8" s="5"/>
    </row>
    <row r="9" customFormat="false" ht="18" hidden="false" customHeight="true" outlineLevel="0" collapsed="false">
      <c r="A9" s="6" t="s">
        <v>12</v>
      </c>
      <c r="B9" s="9" t="n">
        <v>0.3</v>
      </c>
      <c r="C9" s="5" t="s">
        <v>13</v>
      </c>
      <c r="D9" s="5"/>
      <c r="E9" s="5"/>
      <c r="F9" s="5"/>
      <c r="G9" s="5"/>
    </row>
    <row r="10" customFormat="false" ht="18" hidden="false" customHeight="true" outlineLevel="0" collapsed="false">
      <c r="A10" s="6" t="s">
        <v>14</v>
      </c>
      <c r="B10" s="7" t="n">
        <v>14</v>
      </c>
      <c r="C10" s="5" t="s">
        <v>15</v>
      </c>
      <c r="D10" s="5"/>
      <c r="E10" s="5"/>
      <c r="F10" s="5"/>
      <c r="G10" s="5"/>
    </row>
    <row r="11" customFormat="false" ht="18" hidden="false" customHeight="true" outlineLevel="0" collapsed="false">
      <c r="A11" s="6" t="s">
        <v>16</v>
      </c>
      <c r="B11" s="8" t="n">
        <v>0.65</v>
      </c>
      <c r="C11" s="5" t="s">
        <v>17</v>
      </c>
      <c r="D11" s="5"/>
      <c r="E11" s="5"/>
      <c r="F11" s="5"/>
      <c r="G11" s="5"/>
    </row>
    <row r="12" customFormat="false" ht="18" hidden="false" customHeight="true" outlineLevel="0" collapsed="false">
      <c r="A12" s="6" t="s">
        <v>18</v>
      </c>
      <c r="B12" s="10" t="n">
        <v>3</v>
      </c>
      <c r="C12" s="5" t="s">
        <v>19</v>
      </c>
      <c r="D12" s="5"/>
      <c r="E12" s="5"/>
      <c r="F12" s="5"/>
      <c r="G12" s="5"/>
    </row>
    <row r="13" customFormat="false" ht="18" hidden="false" customHeight="true" outlineLevel="0" collapsed="false">
      <c r="A13" s="6" t="s">
        <v>20</v>
      </c>
      <c r="B13" s="7" t="n">
        <v>300</v>
      </c>
      <c r="C13" s="5" t="s">
        <v>21</v>
      </c>
      <c r="D13" s="5"/>
      <c r="E13" s="5"/>
      <c r="F13" s="5"/>
      <c r="G13" s="5"/>
    </row>
    <row r="15" customFormat="false" ht="15" hidden="false" customHeight="true" outlineLevel="0" collapsed="false">
      <c r="A15" s="11" t="s">
        <v>22</v>
      </c>
      <c r="B15" s="11"/>
      <c r="C15" s="11"/>
      <c r="D15" s="11"/>
      <c r="E15" s="11"/>
      <c r="F15" s="11"/>
      <c r="G15" s="11"/>
    </row>
    <row r="16" customFormat="false" ht="18" hidden="false" customHeight="true" outlineLevel="0" collapsed="false">
      <c r="A16" s="12" t="s">
        <v>23</v>
      </c>
      <c r="B16" s="13" t="n">
        <f aca="false">$B$5*(1+$B$6)</f>
        <v>1080</v>
      </c>
      <c r="C16" s="14"/>
      <c r="D16" s="14"/>
      <c r="E16" s="14"/>
      <c r="F16" s="14"/>
      <c r="G16" s="14"/>
    </row>
    <row r="17" customFormat="false" ht="18" hidden="false" customHeight="true" outlineLevel="0" collapsed="false">
      <c r="A17" s="15" t="s">
        <v>24</v>
      </c>
      <c r="B17" s="16" t="n">
        <f aca="false">B16*$B$8+$B$9</f>
        <v>31.62</v>
      </c>
      <c r="C17" s="17"/>
      <c r="D17" s="17"/>
      <c r="E17" s="17"/>
      <c r="F17" s="17"/>
      <c r="G17" s="17"/>
    </row>
    <row r="18" customFormat="false" ht="18" hidden="false" customHeight="true" outlineLevel="0" collapsed="false">
      <c r="A18" s="6" t="s">
        <v>25</v>
      </c>
      <c r="B18" s="18" t="n">
        <f aca="false">$B$5*(1-$B$7)</f>
        <v>1000</v>
      </c>
      <c r="C18" s="19"/>
      <c r="D18" s="19"/>
      <c r="E18" s="19"/>
      <c r="F18" s="19"/>
      <c r="G18" s="19"/>
    </row>
    <row r="19" customFormat="false" ht="18" hidden="false" customHeight="true" outlineLevel="0" collapsed="false">
      <c r="A19" s="6" t="s">
        <v>26</v>
      </c>
      <c r="B19" s="18" t="n">
        <f aca="false">$B$5*$B$6+$B$5*$B$7</f>
        <v>80</v>
      </c>
      <c r="C19" s="19"/>
      <c r="D19" s="19"/>
      <c r="E19" s="19"/>
      <c r="F19" s="19"/>
      <c r="G19" s="19"/>
    </row>
    <row r="20" customFormat="false" ht="18" hidden="false" customHeight="true" outlineLevel="0" collapsed="false">
      <c r="A20" s="20" t="s">
        <v>27</v>
      </c>
      <c r="B20" s="21" t="n">
        <f aca="false">B17-B18-B19</f>
        <v>-1048.38</v>
      </c>
      <c r="C20" s="22"/>
      <c r="D20" s="22"/>
      <c r="E20" s="22"/>
      <c r="F20" s="22"/>
      <c r="G20" s="22"/>
    </row>
    <row r="23" customFormat="false" ht="15" hidden="false" customHeight="true" outlineLevel="0" collapsed="false">
      <c r="A23" s="23" t="s">
        <v>28</v>
      </c>
      <c r="B23" s="23"/>
      <c r="C23" s="23"/>
      <c r="D23" s="23"/>
      <c r="E23" s="23"/>
      <c r="F23" s="23"/>
      <c r="G23" s="23"/>
    </row>
    <row r="24" customFormat="false" ht="15" hidden="false" customHeight="true" outlineLevel="0" collapsed="false">
      <c r="A24" s="5" t="s">
        <v>29</v>
      </c>
      <c r="B24" s="5"/>
      <c r="C24" s="5"/>
      <c r="D24" s="5"/>
      <c r="E24" s="5"/>
      <c r="F24" s="5"/>
      <c r="G24" s="5"/>
    </row>
    <row r="25" customFormat="false" ht="15" hidden="false" customHeight="true" outlineLevel="0" collapsed="false">
      <c r="A25" s="24" t="s">
        <v>30</v>
      </c>
      <c r="B25" s="24" t="s">
        <v>31</v>
      </c>
      <c r="C25" s="24" t="s">
        <v>32</v>
      </c>
      <c r="D25" s="24" t="s">
        <v>33</v>
      </c>
      <c r="E25" s="24" t="s">
        <v>34</v>
      </c>
      <c r="F25" s="24" t="s">
        <v>35</v>
      </c>
      <c r="G25" s="24" t="s">
        <v>36</v>
      </c>
    </row>
    <row r="26" customFormat="false" ht="36" hidden="false" customHeight="true" outlineLevel="0" collapsed="false">
      <c r="A26" s="25" t="s">
        <v>37</v>
      </c>
      <c r="B26" s="26" t="n">
        <v>200</v>
      </c>
      <c r="C26" s="27" t="n">
        <f aca="false">$B$12*B26</f>
        <v>600</v>
      </c>
      <c r="D26" s="28" t="n">
        <f aca="false">C26*$B$20</f>
        <v>-629028</v>
      </c>
      <c r="E26" s="28" t="n">
        <f aca="false">0</f>
        <v>0</v>
      </c>
      <c r="F26" s="28" t="n">
        <f aca="false">D26+E26</f>
        <v>-629028</v>
      </c>
      <c r="G26" s="29" t="n">
        <f aca="false">F26-$B$13</f>
        <v>-629328</v>
      </c>
    </row>
    <row r="27" customFormat="false" ht="36" hidden="false" customHeight="true" outlineLevel="0" collapsed="false">
      <c r="A27" s="30" t="s">
        <v>38</v>
      </c>
      <c r="B27" s="31" t="n">
        <v>400</v>
      </c>
      <c r="C27" s="32" t="n">
        <f aca="false">$B$12*B27</f>
        <v>1200</v>
      </c>
      <c r="D27" s="33" t="n">
        <f aca="false">C27*$B$20</f>
        <v>-1258056</v>
      </c>
      <c r="E27" s="33" t="n">
        <f aca="false">B27*$B$11*$B$10</f>
        <v>3640</v>
      </c>
      <c r="F27" s="33" t="n">
        <f aca="false">D27+E27</f>
        <v>-1254416</v>
      </c>
      <c r="G27" s="34" t="n">
        <f aca="false">F27-$B$13</f>
        <v>-1254716</v>
      </c>
    </row>
    <row r="28" customFormat="false" ht="36" hidden="false" customHeight="true" outlineLevel="0" collapsed="false">
      <c r="A28" s="35" t="s">
        <v>39</v>
      </c>
      <c r="B28" s="36" t="n">
        <v>600</v>
      </c>
      <c r="C28" s="37" t="n">
        <f aca="false">$B$12*B28</f>
        <v>1800</v>
      </c>
      <c r="D28" s="38" t="n">
        <f aca="false">C28*$B$20</f>
        <v>-1887084</v>
      </c>
      <c r="E28" s="38" t="n">
        <f aca="false">B28*$B$11*$B$10</f>
        <v>5460</v>
      </c>
      <c r="F28" s="38" t="n">
        <f aca="false">D28+E28</f>
        <v>-1881624</v>
      </c>
      <c r="G28" s="21" t="n">
        <f aca="false">F28-$B$13</f>
        <v>-1881924</v>
      </c>
    </row>
    <row r="29" customFormat="false" ht="36" hidden="false" customHeight="true" outlineLevel="0" collapsed="false">
      <c r="A29" s="39" t="s">
        <v>40</v>
      </c>
      <c r="B29" s="40" t="n">
        <v>900</v>
      </c>
      <c r="C29" s="41" t="n">
        <f aca="false">$B$12*B29</f>
        <v>2700</v>
      </c>
      <c r="D29" s="13" t="n">
        <f aca="false">C29*$B$20</f>
        <v>-2830626</v>
      </c>
      <c r="E29" s="13" t="n">
        <f aca="false">B29*$B$11*$B$10</f>
        <v>8190</v>
      </c>
      <c r="F29" s="13" t="n">
        <f aca="false">D29+E29</f>
        <v>-2822436</v>
      </c>
      <c r="G29" s="42" t="n">
        <f aca="false">F29-$B$13</f>
        <v>-2822736</v>
      </c>
    </row>
    <row r="30" customFormat="false" ht="21.75" hidden="false" customHeight="true" outlineLevel="0" collapsed="false">
      <c r="A30" s="43" t="s">
        <v>41</v>
      </c>
      <c r="B30" s="22"/>
      <c r="C30" s="22"/>
      <c r="D30" s="22"/>
      <c r="E30" s="22"/>
      <c r="F30" s="22"/>
      <c r="G30" s="44" t="n">
        <f aca="false">50000</f>
        <v>50000</v>
      </c>
    </row>
    <row r="32" customFormat="false" ht="15" hidden="false" customHeight="true" outlineLevel="0" collapsed="false">
      <c r="A32" s="4" t="s">
        <v>42</v>
      </c>
      <c r="B32" s="4"/>
      <c r="C32" s="4"/>
      <c r="D32" s="4"/>
      <c r="E32" s="4"/>
      <c r="F32" s="4"/>
      <c r="G32" s="4"/>
    </row>
    <row r="33" customFormat="false" ht="15" hidden="false" customHeight="true" outlineLevel="0" collapsed="false">
      <c r="A33" s="45" t="s">
        <v>43</v>
      </c>
      <c r="B33" s="45" t="s">
        <v>44</v>
      </c>
      <c r="C33" s="45" t="s">
        <v>45</v>
      </c>
      <c r="D33" s="45" t="s">
        <v>46</v>
      </c>
      <c r="E33" s="45"/>
      <c r="F33" s="45"/>
      <c r="G33" s="45"/>
    </row>
    <row r="34" customFormat="false" ht="18" hidden="false" customHeight="true" outlineLevel="0" collapsed="false">
      <c r="A34" s="6" t="s">
        <v>47</v>
      </c>
      <c r="B34" s="18" t="n">
        <f aca="false">$B$20</f>
        <v>-1048.38</v>
      </c>
      <c r="C34" s="18" t="n">
        <f aca="false">$B$20</f>
        <v>-1048.38</v>
      </c>
      <c r="D34" s="5" t="s">
        <v>48</v>
      </c>
      <c r="E34" s="5"/>
      <c r="F34" s="5"/>
      <c r="G34" s="5"/>
    </row>
    <row r="35" customFormat="false" ht="18" hidden="false" customHeight="true" outlineLevel="0" collapsed="false">
      <c r="A35" s="46" t="s">
        <v>49</v>
      </c>
      <c r="B35" s="47" t="n">
        <f aca="false">0</f>
        <v>0</v>
      </c>
      <c r="C35" s="47" t="n">
        <f aca="false">50000*0.2</f>
        <v>10000</v>
      </c>
      <c r="D35" s="5" t="s">
        <v>50</v>
      </c>
      <c r="E35" s="5"/>
      <c r="F35" s="5"/>
      <c r="G35" s="5"/>
    </row>
    <row r="36" customFormat="false" ht="18" hidden="false" customHeight="true" outlineLevel="0" collapsed="false">
      <c r="A36" s="6" t="s">
        <v>51</v>
      </c>
      <c r="B36" s="48" t="n">
        <f aca="false">IFERROR(50000/B34,0)</f>
        <v>-47.6926305347298</v>
      </c>
      <c r="C36" s="48" t="n">
        <f aca="false">IFERROR((50000-C35)/B34,0)</f>
        <v>-38.1541044277838</v>
      </c>
      <c r="D36" s="5" t="s">
        <v>52</v>
      </c>
      <c r="E36" s="5"/>
      <c r="F36" s="5"/>
      <c r="G36" s="5"/>
    </row>
    <row r="37" customFormat="false" ht="18" hidden="false" customHeight="true" outlineLevel="0" collapsed="false">
      <c r="A37" s="46" t="s">
        <v>53</v>
      </c>
      <c r="B37" s="47" t="n">
        <f aca="false">IFERROR(B36/$B$12,0)</f>
        <v>-15.8975435115766</v>
      </c>
      <c r="C37" s="47" t="n">
        <f aca="false">IFERROR(C36/$B$12,0)</f>
        <v>-12.7180348092613</v>
      </c>
      <c r="D37" s="5" t="s">
        <v>54</v>
      </c>
      <c r="E37" s="5"/>
      <c r="F37" s="5"/>
      <c r="G37" s="5"/>
    </row>
    <row r="38" customFormat="false" ht="18" hidden="false" customHeight="true" outlineLevel="0" collapsed="false">
      <c r="A38" s="6" t="s">
        <v>55</v>
      </c>
      <c r="B38" s="48" t="n">
        <f aca="false">0</f>
        <v>0</v>
      </c>
      <c r="C38" s="48" t="n">
        <f aca="false">IFERROR(C35/$B$10,0)</f>
        <v>714.285714285714</v>
      </c>
      <c r="D38" s="5" t="s">
        <v>56</v>
      </c>
      <c r="E38" s="5"/>
      <c r="F38" s="5"/>
      <c r="G38" s="5"/>
    </row>
    <row r="39" customFormat="false" ht="18" hidden="false" customHeight="true" outlineLevel="0" collapsed="false">
      <c r="A39" s="46" t="s">
        <v>57</v>
      </c>
      <c r="B39" s="47" t="n">
        <f aca="false">B37</f>
        <v>-15.8975435115766</v>
      </c>
      <c r="C39" s="47" t="n">
        <f aca="false">MAX(C37,C38)</f>
        <v>714.285714285714</v>
      </c>
      <c r="D39" s="5" t="s">
        <v>58</v>
      </c>
      <c r="E39" s="5"/>
      <c r="F39" s="5"/>
      <c r="G39" s="5"/>
    </row>
    <row r="40" customFormat="false" ht="18" hidden="false" customHeight="true" outlineLevel="0" collapsed="false">
      <c r="A40" s="49" t="s">
        <v>59</v>
      </c>
      <c r="B40" s="50" t="n">
        <f aca="false">B39*8</f>
        <v>-127.180348092613</v>
      </c>
      <c r="C40" s="50" t="n">
        <f aca="false">C39*8</f>
        <v>5714.28571428572</v>
      </c>
      <c r="D40" s="5" t="s">
        <v>60</v>
      </c>
      <c r="E40" s="5"/>
      <c r="F40" s="5"/>
      <c r="G40" s="5"/>
    </row>
    <row r="41" customFormat="false" ht="18" hidden="false" customHeight="true" outlineLevel="0" collapsed="false">
      <c r="A41" s="51" t="s">
        <v>61</v>
      </c>
      <c r="B41" s="52" t="n">
        <f aca="false">B39+B40</f>
        <v>-143.077891604189</v>
      </c>
      <c r="C41" s="52" t="n">
        <f aca="false">C39+C40</f>
        <v>6428.57142857143</v>
      </c>
      <c r="D41" s="5" t="s">
        <v>62</v>
      </c>
      <c r="E41" s="5"/>
      <c r="F41" s="5"/>
      <c r="G41" s="5"/>
    </row>
    <row r="42" customFormat="false" ht="18" hidden="false" customHeight="true" outlineLevel="0" collapsed="false">
      <c r="A42" s="49" t="s">
        <v>63</v>
      </c>
      <c r="B42" s="50" t="str">
        <f aca="false">IF(B39&gt;150,"Yes — expand markets","Tahoe only")</f>
        <v>Tahoe only</v>
      </c>
      <c r="C42" s="50" t="str">
        <f aca="false">IF(C39&gt;150,"Yes — expand markets","Tahoe only")</f>
        <v>Yes — expand markets</v>
      </c>
      <c r="D42" s="5" t="s">
        <v>64</v>
      </c>
      <c r="E42" s="5"/>
      <c r="F42" s="5"/>
      <c r="G42" s="5"/>
    </row>
    <row r="46" customFormat="false" ht="15" hidden="false" customHeight="true" outlineLevel="0" collapsed="false">
      <c r="A46" s="11" t="s">
        <v>65</v>
      </c>
      <c r="B46" s="11"/>
      <c r="C46" s="11"/>
      <c r="D46" s="11"/>
      <c r="E46" s="11"/>
      <c r="F46" s="11"/>
      <c r="G46" s="11"/>
    </row>
    <row r="47" customFormat="false" ht="15" hidden="false" customHeight="true" outlineLevel="0" collapsed="false">
      <c r="A47" s="53" t="s">
        <v>66</v>
      </c>
      <c r="B47" s="53" t="s">
        <v>67</v>
      </c>
      <c r="C47" s="53" t="s">
        <v>68</v>
      </c>
      <c r="D47" s="53" t="s">
        <v>69</v>
      </c>
      <c r="E47" s="53" t="s">
        <v>70</v>
      </c>
      <c r="F47" s="53" t="s">
        <v>71</v>
      </c>
      <c r="G47" s="53" t="s">
        <v>72</v>
      </c>
    </row>
    <row r="48" customFormat="false" ht="21.75" hidden="false" customHeight="true" outlineLevel="0" collapsed="false">
      <c r="A48" s="54" t="s">
        <v>73</v>
      </c>
      <c r="B48" s="15" t="s">
        <v>74</v>
      </c>
      <c r="C48" s="26" t="n">
        <v>25</v>
      </c>
      <c r="D48" s="27" t="n">
        <f aca="false">C48*$B$12</f>
        <v>75</v>
      </c>
      <c r="E48" s="29" t="n">
        <f aca="false">C48*$B$12*$B$20</f>
        <v>-78628.5</v>
      </c>
      <c r="F48" s="28" t="n">
        <f aca="false">E48</f>
        <v>-78628.5</v>
      </c>
      <c r="G48" s="15" t="s">
        <v>75</v>
      </c>
    </row>
    <row r="49" customFormat="false" ht="21.75" hidden="false" customHeight="true" outlineLevel="0" collapsed="false">
      <c r="A49" s="55" t="s">
        <v>76</v>
      </c>
      <c r="B49" s="56" t="s">
        <v>77</v>
      </c>
      <c r="C49" s="31" t="n">
        <v>75</v>
      </c>
      <c r="D49" s="32" t="n">
        <f aca="false">C49*$B$12</f>
        <v>225</v>
      </c>
      <c r="E49" s="34" t="n">
        <f aca="false">C49*$B$12*$B$20+C49*$B$11*$B$10</f>
        <v>-235203</v>
      </c>
      <c r="F49" s="33" t="n">
        <f aca="false">E48+E49</f>
        <v>-313831.5</v>
      </c>
      <c r="G49" s="56" t="s">
        <v>78</v>
      </c>
    </row>
    <row r="50" customFormat="false" ht="21.75" hidden="false" customHeight="true" outlineLevel="0" collapsed="false">
      <c r="A50" s="20" t="s">
        <v>79</v>
      </c>
      <c r="B50" s="57" t="s">
        <v>80</v>
      </c>
      <c r="C50" s="36" t="n">
        <v>200</v>
      </c>
      <c r="D50" s="37" t="n">
        <f aca="false">C50*$B$12</f>
        <v>600</v>
      </c>
      <c r="E50" s="21" t="n">
        <f aca="false">C50*$B$12*$B$20+C50*$B$11*$B$10</f>
        <v>-627208</v>
      </c>
      <c r="F50" s="38" t="n">
        <f aca="false">E49+E50</f>
        <v>-862411</v>
      </c>
      <c r="G50" s="57" t="s">
        <v>81</v>
      </c>
    </row>
    <row r="51" customFormat="false" ht="21.75" hidden="false" customHeight="true" outlineLevel="0" collapsed="false">
      <c r="A51" s="58" t="s">
        <v>82</v>
      </c>
      <c r="B51" s="12" t="s">
        <v>83</v>
      </c>
      <c r="C51" s="40" t="n">
        <v>500</v>
      </c>
      <c r="D51" s="41" t="n">
        <f aca="false">C51*$B$12</f>
        <v>1500</v>
      </c>
      <c r="E51" s="42" t="n">
        <f aca="false">C51*$B$12*$B$20+C51*$B$11*$B$10</f>
        <v>-1568020</v>
      </c>
      <c r="F51" s="13" t="n">
        <f aca="false">E50+E51</f>
        <v>-2195228</v>
      </c>
      <c r="G51" s="12" t="s">
        <v>84</v>
      </c>
    </row>
    <row r="52" customFormat="false" ht="21.75" hidden="false" customHeight="true" outlineLevel="0" collapsed="false">
      <c r="A52" s="59" t="s">
        <v>85</v>
      </c>
      <c r="B52" s="60" t="s">
        <v>86</v>
      </c>
      <c r="C52" s="61" t="n">
        <v>900</v>
      </c>
      <c r="D52" s="62" t="n">
        <f aca="false">C52*$B$12</f>
        <v>2700</v>
      </c>
      <c r="E52" s="63" t="n">
        <f aca="false">C52*$B$12*$B$20+C52*$B$11*$B$10</f>
        <v>-2822436</v>
      </c>
      <c r="F52" s="64" t="n">
        <f aca="false">E51+E52</f>
        <v>-4390456</v>
      </c>
      <c r="G52" s="60" t="s">
        <v>87</v>
      </c>
    </row>
    <row r="54" customFormat="false" ht="21.75" hidden="false" customHeight="true" outlineLevel="0" collapsed="false">
      <c r="A54" s="65" t="s">
        <v>88</v>
      </c>
      <c r="B54" s="65"/>
      <c r="C54" s="65"/>
      <c r="D54" s="65"/>
      <c r="E54" s="65"/>
      <c r="F54" s="65"/>
      <c r="G54" s="65"/>
    </row>
  </sheetData>
  <mergeCells count="29">
    <mergeCell ref="A1:G1"/>
    <mergeCell ref="A2:G2"/>
    <mergeCell ref="A4:C4"/>
    <mergeCell ref="D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A15:G15"/>
    <mergeCell ref="A23:G23"/>
    <mergeCell ref="A24:G24"/>
    <mergeCell ref="A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A46:G46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70"/>
    <col collapsed="false" customWidth="true" hidden="false" outlineLevel="0" max="6" min="6" style="1" width="22"/>
  </cols>
  <sheetData>
    <row r="1" customFormat="false" ht="39.75" hidden="false" customHeight="true" outlineLevel="0" collapsed="false">
      <c r="A1" s="66" t="s">
        <v>89</v>
      </c>
      <c r="B1" s="66"/>
      <c r="C1" s="66"/>
      <c r="D1" s="66"/>
      <c r="E1" s="66"/>
      <c r="F1" s="66"/>
    </row>
    <row r="2" customFormat="false" ht="21.75" hidden="false" customHeight="true" outlineLevel="0" collapsed="false">
      <c r="A2" s="67" t="s">
        <v>90</v>
      </c>
      <c r="B2" s="67"/>
      <c r="C2" s="67"/>
      <c r="D2" s="67"/>
      <c r="E2" s="67"/>
      <c r="F2" s="67"/>
    </row>
    <row r="4" customFormat="false" ht="18" hidden="false" customHeight="true" outlineLevel="0" collapsed="false">
      <c r="A4" s="68" t="s">
        <v>91</v>
      </c>
      <c r="B4" s="68" t="s">
        <v>92</v>
      </c>
      <c r="C4" s="68" t="s">
        <v>93</v>
      </c>
      <c r="D4" s="68" t="s">
        <v>94</v>
      </c>
      <c r="E4" s="68" t="s">
        <v>95</v>
      </c>
      <c r="F4" s="69"/>
    </row>
    <row r="5" customFormat="false" ht="31.5" hidden="false" customHeight="true" outlineLevel="0" collapsed="false">
      <c r="A5" s="70" t="n">
        <f aca="false">Infrastructure!B22</f>
        <v>9.5</v>
      </c>
      <c r="B5" s="71" t="n">
        <f aca="false">'Tax Planning'!C6</f>
        <v>800</v>
      </c>
      <c r="C5" s="72" t="n">
        <f aca="false">'Stripe Fees'!C8</f>
        <v>50.7</v>
      </c>
      <c r="D5" s="73" t="n">
        <f aca="false">'Tax Planning'!C20</f>
        <v>0.33</v>
      </c>
      <c r="E5" s="74" t="n">
        <f aca="false">'Revenue Model'!B42</f>
        <v>0.187376725838264</v>
      </c>
      <c r="F5" s="69"/>
    </row>
    <row r="6" customFormat="false" ht="19.5" hidden="false" customHeight="true" outlineLevel="0" collapsed="false">
      <c r="A6" s="75" t="s">
        <v>96</v>
      </c>
      <c r="B6" s="76" t="s">
        <v>96</v>
      </c>
      <c r="C6" s="77" t="s">
        <v>96</v>
      </c>
      <c r="D6" s="78" t="s">
        <v>96</v>
      </c>
      <c r="E6" s="79" t="s">
        <v>96</v>
      </c>
      <c r="F6" s="69"/>
    </row>
    <row r="7" customFormat="false" ht="18" hidden="false" customHeight="true" outlineLevel="0" collapsed="false"/>
    <row r="8" customFormat="false" ht="15" hidden="false" customHeight="true" outlineLevel="0" collapsed="false">
      <c r="A8" s="80" t="s">
        <v>97</v>
      </c>
      <c r="B8" s="80"/>
      <c r="C8" s="80"/>
      <c r="D8" s="80"/>
      <c r="E8" s="80"/>
      <c r="F8" s="80"/>
    </row>
    <row r="9" customFormat="false" ht="15" hidden="false" customHeight="true" outlineLevel="0" collapsed="false">
      <c r="A9" s="81" t="s">
        <v>98</v>
      </c>
      <c r="B9" s="81" t="s">
        <v>99</v>
      </c>
      <c r="C9" s="81" t="s">
        <v>100</v>
      </c>
      <c r="D9" s="81" t="s">
        <v>101</v>
      </c>
      <c r="E9" s="81" t="s">
        <v>102</v>
      </c>
      <c r="F9" s="81" t="s">
        <v>46</v>
      </c>
    </row>
    <row r="10" customFormat="false" ht="36" hidden="false" customHeight="true" outlineLevel="0" collapsed="false">
      <c r="A10" s="82" t="s">
        <v>103</v>
      </c>
      <c r="B10" s="83" t="s">
        <v>104</v>
      </c>
      <c r="C10" s="83" t="s">
        <v>105</v>
      </c>
      <c r="D10" s="83" t="s">
        <v>106</v>
      </c>
      <c r="E10" s="83" t="s">
        <v>107</v>
      </c>
      <c r="F10" s="83" t="s">
        <v>108</v>
      </c>
    </row>
    <row r="11" customFormat="false" ht="36" hidden="false" customHeight="true" outlineLevel="0" collapsed="false">
      <c r="A11" s="84" t="s">
        <v>109</v>
      </c>
      <c r="B11" s="85" t="s">
        <v>110</v>
      </c>
      <c r="C11" s="85" t="s">
        <v>111</v>
      </c>
      <c r="D11" s="85" t="s">
        <v>112</v>
      </c>
      <c r="E11" s="85" t="s">
        <v>113</v>
      </c>
      <c r="F11" s="85" t="s">
        <v>114</v>
      </c>
    </row>
    <row r="12" customFormat="false" ht="36" hidden="false" customHeight="true" outlineLevel="0" collapsed="false">
      <c r="A12" s="86" t="s">
        <v>115</v>
      </c>
      <c r="B12" s="87" t="s">
        <v>116</v>
      </c>
      <c r="C12" s="87" t="s">
        <v>117</v>
      </c>
      <c r="D12" s="87" t="s">
        <v>118</v>
      </c>
      <c r="E12" s="87" t="s">
        <v>119</v>
      </c>
      <c r="F12" s="87" t="s">
        <v>120</v>
      </c>
    </row>
    <row r="14" customFormat="false" ht="15" hidden="false" customHeight="true" outlineLevel="0" collapsed="false">
      <c r="A14" s="88" t="s">
        <v>121</v>
      </c>
      <c r="B14" s="88"/>
      <c r="C14" s="88"/>
      <c r="D14" s="88"/>
      <c r="E14" s="88"/>
      <c r="F14" s="88"/>
    </row>
    <row r="15" customFormat="false" ht="15" hidden="false" customHeight="true" outlineLevel="0" collapsed="false">
      <c r="A15" s="81" t="s">
        <v>122</v>
      </c>
      <c r="B15" s="89" t="s">
        <v>123</v>
      </c>
      <c r="C15" s="89"/>
      <c r="D15" s="89"/>
      <c r="E15" s="89"/>
      <c r="F15" s="89"/>
    </row>
    <row r="16" customFormat="false" ht="15" hidden="false" customHeight="true" outlineLevel="0" collapsed="false">
      <c r="A16" s="90" t="s">
        <v>124</v>
      </c>
      <c r="B16" s="91" t="s">
        <v>125</v>
      </c>
      <c r="C16" s="91"/>
      <c r="D16" s="91"/>
      <c r="E16" s="91"/>
      <c r="F16" s="91"/>
    </row>
    <row r="17" customFormat="false" ht="15" hidden="false" customHeight="true" outlineLevel="0" collapsed="false">
      <c r="A17" s="90" t="s">
        <v>126</v>
      </c>
      <c r="B17" s="91" t="s">
        <v>127</v>
      </c>
      <c r="C17" s="91"/>
      <c r="D17" s="91"/>
      <c r="E17" s="91"/>
      <c r="F17" s="91"/>
    </row>
    <row r="18" customFormat="false" ht="15" hidden="false" customHeight="true" outlineLevel="0" collapsed="false">
      <c r="A18" s="90" t="s">
        <v>128</v>
      </c>
      <c r="B18" s="91" t="s">
        <v>129</v>
      </c>
      <c r="C18" s="91"/>
      <c r="D18" s="91"/>
      <c r="E18" s="91"/>
      <c r="F18" s="91"/>
    </row>
    <row r="19" customFormat="false" ht="15" hidden="false" customHeight="true" outlineLevel="0" collapsed="false">
      <c r="A19" s="90" t="s">
        <v>130</v>
      </c>
      <c r="B19" s="91" t="s">
        <v>131</v>
      </c>
      <c r="C19" s="91"/>
      <c r="D19" s="91"/>
      <c r="E19" s="91"/>
      <c r="F19" s="91"/>
    </row>
    <row r="21" customFormat="false" ht="15" hidden="false" customHeight="false" outlineLevel="0" collapsed="false">
      <c r="A21" s="92" t="s">
        <v>132</v>
      </c>
    </row>
    <row r="22" customFormat="false" ht="15" hidden="false" customHeight="false" outlineLevel="0" collapsed="false">
      <c r="A22" s="1" t="s">
        <v>133</v>
      </c>
      <c r="B22" s="93" t="s">
        <v>134</v>
      </c>
    </row>
    <row r="23" customFormat="false" ht="15" hidden="false" customHeight="false" outlineLevel="0" collapsed="false">
      <c r="A23" s="1" t="s">
        <v>135</v>
      </c>
      <c r="B23" s="94" t="n">
        <f aca="false">Runway!B17</f>
        <v>940</v>
      </c>
      <c r="C23" s="94" t="n">
        <f aca="false">Runway!C17</f>
        <v>2547</v>
      </c>
    </row>
    <row r="24" customFormat="false" ht="15" hidden="false" customHeight="false" outlineLevel="0" collapsed="false">
      <c r="A24" s="1" t="s">
        <v>136</v>
      </c>
      <c r="B24" s="1" t="s">
        <v>137</v>
      </c>
    </row>
    <row r="25" customFormat="false" ht="15" hidden="false" customHeight="false" outlineLevel="0" collapsed="false">
      <c r="A25" s="1" t="s">
        <v>138</v>
      </c>
      <c r="B25" s="1" t="s">
        <v>139</v>
      </c>
    </row>
    <row r="26" customFormat="false" ht="15" hidden="false" customHeight="false" outlineLevel="0" collapsed="false">
      <c r="A26" s="1" t="s">
        <v>140</v>
      </c>
      <c r="B26" s="1" t="s">
        <v>141</v>
      </c>
    </row>
    <row r="27" customFormat="false" ht="15" hidden="false" customHeight="false" outlineLevel="0" collapsed="false">
      <c r="A27" s="1" t="s">
        <v>142</v>
      </c>
      <c r="B27" s="1" t="s">
        <v>143</v>
      </c>
    </row>
    <row r="28" customFormat="false" ht="15" hidden="false" customHeight="false" outlineLevel="0" collapsed="false">
      <c r="A28" s="1" t="s">
        <v>144</v>
      </c>
      <c r="B28" s="1" t="s">
        <v>145</v>
      </c>
    </row>
  </sheetData>
  <mergeCells count="9">
    <mergeCell ref="A1:F1"/>
    <mergeCell ref="A2:F2"/>
    <mergeCell ref="A8:F8"/>
    <mergeCell ref="A14:F14"/>
    <mergeCell ref="B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95" t="s">
        <v>146</v>
      </c>
      <c r="B1" s="95"/>
      <c r="C1" s="95"/>
      <c r="D1" s="95"/>
      <c r="E1" s="95"/>
    </row>
    <row r="2" customFormat="false" ht="15" hidden="false" customHeight="true" outlineLevel="0" collapsed="false">
      <c r="A2" s="96" t="s">
        <v>147</v>
      </c>
      <c r="B2" s="96"/>
      <c r="C2" s="96"/>
      <c r="D2" s="96"/>
      <c r="E2" s="96"/>
    </row>
    <row r="3" customFormat="false" ht="15" hidden="false" customHeight="true" outlineLevel="0" collapsed="false">
      <c r="A3" s="81" t="s">
        <v>148</v>
      </c>
      <c r="B3" s="81" t="s">
        <v>149</v>
      </c>
      <c r="C3" s="81" t="s">
        <v>150</v>
      </c>
      <c r="D3" s="81" t="s">
        <v>151</v>
      </c>
      <c r="E3" s="81" t="s">
        <v>46</v>
      </c>
    </row>
    <row r="4" customFormat="false" ht="15" hidden="false" customHeight="true" outlineLevel="0" collapsed="false">
      <c r="A4" s="97" t="s">
        <v>152</v>
      </c>
      <c r="B4" s="97"/>
      <c r="C4" s="97"/>
      <c r="D4" s="97"/>
      <c r="E4" s="97"/>
    </row>
    <row r="5" customFormat="false" ht="18" hidden="false" customHeight="true" outlineLevel="0" collapsed="false">
      <c r="A5" s="46" t="s">
        <v>153</v>
      </c>
      <c r="B5" s="98" t="n">
        <v>0</v>
      </c>
      <c r="C5" s="46" t="s">
        <v>154</v>
      </c>
      <c r="D5" s="99" t="n">
        <f aca="false">B5*12</f>
        <v>0</v>
      </c>
      <c r="E5" s="100" t="s">
        <v>155</v>
      </c>
    </row>
    <row r="6" customFormat="false" ht="18" hidden="false" customHeight="true" outlineLevel="0" collapsed="false">
      <c r="A6" s="46" t="s">
        <v>156</v>
      </c>
      <c r="B6" s="98" t="n">
        <v>0</v>
      </c>
      <c r="C6" s="46" t="s">
        <v>154</v>
      </c>
      <c r="D6" s="99" t="n">
        <f aca="false">B6*12</f>
        <v>0</v>
      </c>
      <c r="E6" s="100" t="s">
        <v>157</v>
      </c>
    </row>
    <row r="7" customFormat="false" ht="18" hidden="false" customHeight="true" outlineLevel="0" collapsed="false">
      <c r="A7" s="46" t="s">
        <v>158</v>
      </c>
      <c r="B7" s="98" t="n">
        <v>0</v>
      </c>
      <c r="C7" s="46" t="s">
        <v>154</v>
      </c>
      <c r="D7" s="99" t="n">
        <f aca="false">B7*12</f>
        <v>0</v>
      </c>
      <c r="E7" s="100" t="s">
        <v>159</v>
      </c>
    </row>
    <row r="8" customFormat="false" ht="18" hidden="false" customHeight="true" outlineLevel="0" collapsed="false">
      <c r="A8" s="46" t="s">
        <v>160</v>
      </c>
      <c r="B8" s="98" t="n">
        <v>0</v>
      </c>
      <c r="C8" s="46" t="s">
        <v>154</v>
      </c>
      <c r="D8" s="99" t="n">
        <f aca="false">B8*12</f>
        <v>0</v>
      </c>
      <c r="E8" s="100" t="s">
        <v>161</v>
      </c>
    </row>
    <row r="9" customFormat="false" ht="18" hidden="false" customHeight="true" outlineLevel="0" collapsed="false">
      <c r="A9" s="46" t="s">
        <v>162</v>
      </c>
      <c r="B9" s="98" t="n">
        <v>8.25</v>
      </c>
      <c r="C9" s="46" t="s">
        <v>154</v>
      </c>
      <c r="D9" s="99" t="n">
        <f aca="false">B9*12</f>
        <v>99</v>
      </c>
      <c r="E9" s="100" t="s">
        <v>163</v>
      </c>
    </row>
    <row r="10" customFormat="false" ht="18" hidden="false" customHeight="true" outlineLevel="0" collapsed="false">
      <c r="A10" s="46" t="s">
        <v>164</v>
      </c>
      <c r="B10" s="98" t="n">
        <v>1.25</v>
      </c>
      <c r="C10" s="46" t="s">
        <v>154</v>
      </c>
      <c r="D10" s="99" t="n">
        <f aca="false">B10*12</f>
        <v>15</v>
      </c>
      <c r="E10" s="100" t="s">
        <v>165</v>
      </c>
    </row>
    <row r="11" customFormat="false" ht="19.5" hidden="false" customHeight="true" outlineLevel="0" collapsed="false">
      <c r="A11" s="58" t="s">
        <v>166</v>
      </c>
      <c r="B11" s="101" t="n">
        <f aca="false">SUM(B5:B10)</f>
        <v>9.5</v>
      </c>
      <c r="C11" s="12"/>
      <c r="D11" s="101" t="n">
        <f aca="false">SUM(D5:D10)</f>
        <v>114</v>
      </c>
      <c r="E11" s="100" t="s">
        <v>167</v>
      </c>
    </row>
    <row r="13" customFormat="false" ht="15" hidden="false" customHeight="true" outlineLevel="0" collapsed="false">
      <c r="A13" s="102" t="s">
        <v>168</v>
      </c>
      <c r="B13" s="102"/>
      <c r="C13" s="102"/>
      <c r="D13" s="102"/>
      <c r="E13" s="102"/>
    </row>
    <row r="14" customFormat="false" ht="18" hidden="false" customHeight="true" outlineLevel="0" collapsed="false">
      <c r="A14" s="46" t="s">
        <v>169</v>
      </c>
      <c r="B14" s="98" t="n">
        <v>19</v>
      </c>
      <c r="C14" s="46" t="s">
        <v>154</v>
      </c>
      <c r="D14" s="99" t="n">
        <f aca="false">B14*12</f>
        <v>228</v>
      </c>
      <c r="E14" s="100" t="s">
        <v>170</v>
      </c>
    </row>
    <row r="15" customFormat="false" ht="18" hidden="false" customHeight="true" outlineLevel="0" collapsed="false">
      <c r="A15" s="46" t="s">
        <v>171</v>
      </c>
      <c r="B15" s="98" t="n">
        <v>25</v>
      </c>
      <c r="C15" s="46" t="s">
        <v>154</v>
      </c>
      <c r="D15" s="99" t="n">
        <f aca="false">B15*12</f>
        <v>300</v>
      </c>
      <c r="E15" s="100" t="s">
        <v>172</v>
      </c>
    </row>
    <row r="16" customFormat="false" ht="18" hidden="false" customHeight="true" outlineLevel="0" collapsed="false">
      <c r="A16" s="46" t="s">
        <v>158</v>
      </c>
      <c r="B16" s="98" t="n">
        <v>10</v>
      </c>
      <c r="C16" s="46" t="s">
        <v>154</v>
      </c>
      <c r="D16" s="99" t="n">
        <f aca="false">B16*12</f>
        <v>120</v>
      </c>
      <c r="E16" s="100" t="s">
        <v>173</v>
      </c>
    </row>
    <row r="17" customFormat="false" ht="18" hidden="false" customHeight="true" outlineLevel="0" collapsed="false">
      <c r="A17" s="46" t="s">
        <v>160</v>
      </c>
      <c r="B17" s="98" t="n">
        <v>20</v>
      </c>
      <c r="C17" s="46" t="s">
        <v>154</v>
      </c>
      <c r="D17" s="99" t="n">
        <f aca="false">B17*12</f>
        <v>240</v>
      </c>
      <c r="E17" s="100" t="s">
        <v>174</v>
      </c>
    </row>
    <row r="18" customFormat="false" ht="18" hidden="false" customHeight="true" outlineLevel="0" collapsed="false">
      <c r="A18" s="46" t="s">
        <v>162</v>
      </c>
      <c r="B18" s="98" t="n">
        <v>8.25</v>
      </c>
      <c r="C18" s="46" t="s">
        <v>154</v>
      </c>
      <c r="D18" s="99" t="n">
        <f aca="false">B18*12</f>
        <v>99</v>
      </c>
      <c r="E18" s="100" t="s">
        <v>175</v>
      </c>
    </row>
    <row r="19" customFormat="false" ht="18" hidden="false" customHeight="true" outlineLevel="0" collapsed="false">
      <c r="A19" s="46" t="s">
        <v>176</v>
      </c>
      <c r="B19" s="98" t="n">
        <v>1.25</v>
      </c>
      <c r="C19" s="46" t="s">
        <v>154</v>
      </c>
      <c r="D19" s="99" t="n">
        <f aca="false">B19*12</f>
        <v>15</v>
      </c>
      <c r="E19" s="100" t="s">
        <v>177</v>
      </c>
    </row>
    <row r="20" customFormat="false" ht="18" hidden="false" customHeight="true" outlineLevel="0" collapsed="false">
      <c r="A20" s="46" t="s">
        <v>178</v>
      </c>
      <c r="B20" s="98" t="n">
        <v>15</v>
      </c>
      <c r="C20" s="46" t="s">
        <v>154</v>
      </c>
      <c r="D20" s="99" t="n">
        <f aca="false">B20*12</f>
        <v>180</v>
      </c>
      <c r="E20" s="100" t="s">
        <v>179</v>
      </c>
    </row>
    <row r="21" customFormat="false" ht="19.5" hidden="false" customHeight="true" outlineLevel="0" collapsed="false">
      <c r="A21" s="55" t="s">
        <v>180</v>
      </c>
      <c r="B21" s="103" t="n">
        <f aca="false">SUM(B14:B20)</f>
        <v>98.5</v>
      </c>
      <c r="C21" s="56"/>
      <c r="D21" s="103" t="n">
        <f aca="false">SUM(D14:D20)</f>
        <v>1182</v>
      </c>
      <c r="E21" s="100" t="s">
        <v>181</v>
      </c>
    </row>
    <row r="22" customFormat="false" ht="15" hidden="false" customHeight="true" outlineLevel="0" collapsed="false">
      <c r="B22" s="104" t="n">
        <f aca="false">B11</f>
        <v>9.5</v>
      </c>
    </row>
    <row r="23" customFormat="false" ht="15" hidden="false" customHeight="true" outlineLevel="0" collapsed="false">
      <c r="A23" s="88" t="s">
        <v>182</v>
      </c>
      <c r="B23" s="88"/>
      <c r="C23" s="88"/>
      <c r="D23" s="88"/>
      <c r="E23" s="88"/>
    </row>
    <row r="24" customFormat="false" ht="18" hidden="false" customHeight="true" outlineLevel="0" collapsed="false">
      <c r="A24" s="46" t="s">
        <v>183</v>
      </c>
      <c r="B24" s="98" t="n">
        <v>99</v>
      </c>
      <c r="C24" s="46" t="s">
        <v>154</v>
      </c>
      <c r="D24" s="99" t="n">
        <f aca="false">B24*12</f>
        <v>1188</v>
      </c>
      <c r="E24" s="100" t="s">
        <v>184</v>
      </c>
    </row>
    <row r="25" customFormat="false" ht="18" hidden="false" customHeight="true" outlineLevel="0" collapsed="false">
      <c r="A25" s="46" t="s">
        <v>171</v>
      </c>
      <c r="B25" s="98" t="n">
        <v>25</v>
      </c>
      <c r="C25" s="46" t="s">
        <v>154</v>
      </c>
      <c r="D25" s="99" t="n">
        <f aca="false">B25*12</f>
        <v>300</v>
      </c>
      <c r="E25" s="100" t="s">
        <v>185</v>
      </c>
    </row>
    <row r="26" customFormat="false" ht="18" hidden="false" customHeight="true" outlineLevel="0" collapsed="false">
      <c r="A26" s="46" t="s">
        <v>158</v>
      </c>
      <c r="B26" s="98" t="n">
        <v>100</v>
      </c>
      <c r="C26" s="46" t="s">
        <v>154</v>
      </c>
      <c r="D26" s="99" t="n">
        <f aca="false">B26*12</f>
        <v>1200</v>
      </c>
      <c r="E26" s="100" t="s">
        <v>186</v>
      </c>
    </row>
    <row r="27" customFormat="false" ht="18" hidden="false" customHeight="true" outlineLevel="0" collapsed="false">
      <c r="A27" s="46" t="s">
        <v>160</v>
      </c>
      <c r="B27" s="98" t="n">
        <v>20</v>
      </c>
      <c r="C27" s="46" t="s">
        <v>154</v>
      </c>
      <c r="D27" s="99" t="n">
        <f aca="false">B27*12</f>
        <v>240</v>
      </c>
      <c r="E27" s="100" t="s">
        <v>187</v>
      </c>
    </row>
    <row r="28" customFormat="false" ht="18" hidden="false" customHeight="true" outlineLevel="0" collapsed="false">
      <c r="A28" s="46" t="s">
        <v>162</v>
      </c>
      <c r="B28" s="98" t="n">
        <v>8.25</v>
      </c>
      <c r="C28" s="46" t="s">
        <v>154</v>
      </c>
      <c r="D28" s="99" t="n">
        <f aca="false">B28*12</f>
        <v>99</v>
      </c>
      <c r="E28" s="100" t="s">
        <v>188</v>
      </c>
    </row>
    <row r="29" customFormat="false" ht="18" hidden="false" customHeight="true" outlineLevel="0" collapsed="false">
      <c r="A29" s="46" t="s">
        <v>176</v>
      </c>
      <c r="B29" s="98" t="n">
        <v>1.25</v>
      </c>
      <c r="C29" s="46" t="s">
        <v>154</v>
      </c>
      <c r="D29" s="99" t="n">
        <f aca="false">B29*12</f>
        <v>15</v>
      </c>
      <c r="E29" s="100" t="s">
        <v>177</v>
      </c>
    </row>
    <row r="30" customFormat="false" ht="18" hidden="false" customHeight="true" outlineLevel="0" collapsed="false">
      <c r="A30" s="46" t="s">
        <v>189</v>
      </c>
      <c r="B30" s="98" t="n">
        <v>15</v>
      </c>
      <c r="C30" s="46" t="s">
        <v>154</v>
      </c>
      <c r="D30" s="99" t="n">
        <f aca="false">B30*12</f>
        <v>180</v>
      </c>
      <c r="E30" s="100" t="s">
        <v>190</v>
      </c>
    </row>
    <row r="31" customFormat="false" ht="18" hidden="false" customHeight="true" outlineLevel="0" collapsed="false">
      <c r="A31" s="46" t="s">
        <v>191</v>
      </c>
      <c r="B31" s="98" t="n">
        <v>300</v>
      </c>
      <c r="C31" s="46" t="s">
        <v>154</v>
      </c>
      <c r="D31" s="99" t="n">
        <f aca="false">B31*12</f>
        <v>3600</v>
      </c>
      <c r="E31" s="100" t="s">
        <v>192</v>
      </c>
    </row>
    <row r="32" customFormat="false" ht="18" hidden="false" customHeight="true" outlineLevel="0" collapsed="false">
      <c r="A32" s="46" t="s">
        <v>193</v>
      </c>
      <c r="B32" s="98" t="n">
        <v>83</v>
      </c>
      <c r="C32" s="46" t="s">
        <v>154</v>
      </c>
      <c r="D32" s="99" t="n">
        <f aca="false">B32*12</f>
        <v>996</v>
      </c>
      <c r="E32" s="100" t="s">
        <v>194</v>
      </c>
    </row>
    <row r="33" customFormat="false" ht="18" hidden="false" customHeight="true" outlineLevel="0" collapsed="false">
      <c r="A33" s="46" t="s">
        <v>178</v>
      </c>
      <c r="B33" s="98" t="n">
        <v>50</v>
      </c>
      <c r="C33" s="46" t="s">
        <v>154</v>
      </c>
      <c r="D33" s="99" t="n">
        <f aca="false">B33*12</f>
        <v>600</v>
      </c>
      <c r="E33" s="100" t="s">
        <v>195</v>
      </c>
    </row>
    <row r="34" customFormat="false" ht="19.5" hidden="false" customHeight="true" outlineLevel="0" collapsed="false">
      <c r="A34" s="59" t="s">
        <v>196</v>
      </c>
      <c r="B34" s="105" t="n">
        <f aca="false">SUM(B24:B33)</f>
        <v>701.5</v>
      </c>
      <c r="C34" s="60"/>
      <c r="D34" s="105" t="n">
        <f aca="false">SUM(D24:D33)</f>
        <v>8418</v>
      </c>
    </row>
  </sheetData>
  <mergeCells count="5">
    <mergeCell ref="A1:E1"/>
    <mergeCell ref="A2:E2"/>
    <mergeCell ref="A4:E4"/>
    <mergeCell ref="A13:E13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95" t="s">
        <v>197</v>
      </c>
      <c r="B1" s="95"/>
      <c r="C1" s="95"/>
      <c r="D1" s="95"/>
      <c r="E1" s="95"/>
      <c r="F1" s="95"/>
      <c r="G1" s="95"/>
    </row>
    <row r="3" customFormat="false" ht="15" hidden="false" customHeight="true" outlineLevel="0" collapsed="false">
      <c r="A3" s="80" t="s">
        <v>198</v>
      </c>
      <c r="B3" s="80"/>
      <c r="C3" s="80"/>
    </row>
    <row r="4" customFormat="false" ht="18" hidden="false" customHeight="true" outlineLevel="0" collapsed="false">
      <c r="A4" s="6" t="s">
        <v>199</v>
      </c>
      <c r="B4" s="106" t="n">
        <v>1000</v>
      </c>
      <c r="C4" s="107"/>
    </row>
    <row r="5" customFormat="false" ht="18" hidden="false" customHeight="true" outlineLevel="0" collapsed="false">
      <c r="A5" s="6" t="s">
        <v>200</v>
      </c>
      <c r="B5" s="108" t="n">
        <v>0.08</v>
      </c>
      <c r="C5" s="107"/>
    </row>
    <row r="6" customFormat="false" ht="18" hidden="false" customHeight="true" outlineLevel="0" collapsed="false">
      <c r="A6" s="6" t="s">
        <v>201</v>
      </c>
      <c r="B6" s="108" t="n">
        <v>0.029</v>
      </c>
      <c r="C6" s="107"/>
    </row>
    <row r="7" customFormat="false" ht="18" hidden="false" customHeight="true" outlineLevel="0" collapsed="false">
      <c r="A7" s="6" t="s">
        <v>202</v>
      </c>
      <c r="B7" s="98" t="n">
        <v>0.3</v>
      </c>
      <c r="C7" s="107"/>
    </row>
    <row r="8" customFormat="false" ht="18" hidden="false" customHeight="true" outlineLevel="0" collapsed="false">
      <c r="A8" s="6" t="s">
        <v>203</v>
      </c>
      <c r="B8" s="109" t="n">
        <v>7</v>
      </c>
      <c r="C8" s="107"/>
    </row>
    <row r="9" customFormat="false" ht="18" hidden="false" customHeight="true" outlineLevel="0" collapsed="false">
      <c r="A9" s="6" t="s">
        <v>204</v>
      </c>
      <c r="B9" s="109" t="n">
        <v>2</v>
      </c>
      <c r="C9" s="107"/>
    </row>
    <row r="10" customFormat="false" ht="18" hidden="false" customHeight="true" outlineLevel="0" collapsed="false">
      <c r="A10" s="6" t="s">
        <v>205</v>
      </c>
      <c r="B10" s="110" t="n">
        <v>0.5</v>
      </c>
      <c r="C10" s="107"/>
    </row>
    <row r="12" customFormat="false" ht="15" hidden="false" customHeight="true" outlineLevel="0" collapsed="false">
      <c r="A12" s="88" t="s">
        <v>206</v>
      </c>
      <c r="B12" s="88"/>
      <c r="C12" s="88"/>
      <c r="D12" s="88"/>
      <c r="E12" s="88"/>
      <c r="F12" s="88"/>
      <c r="G12" s="88"/>
    </row>
    <row r="13" customFormat="false" ht="15" hidden="false" customHeight="true" outlineLevel="0" collapsed="false">
      <c r="A13" s="81" t="s">
        <v>207</v>
      </c>
      <c r="B13" s="81" t="s">
        <v>208</v>
      </c>
      <c r="C13" s="81" t="s">
        <v>209</v>
      </c>
      <c r="D13" s="81" t="s">
        <v>210</v>
      </c>
      <c r="E13" s="81" t="s">
        <v>211</v>
      </c>
      <c r="F13" s="81" t="s">
        <v>212</v>
      </c>
      <c r="G13" s="81" t="s">
        <v>213</v>
      </c>
    </row>
    <row r="14" customFormat="false" ht="16.5" hidden="false" customHeight="true" outlineLevel="0" collapsed="false">
      <c r="A14" s="111" t="n">
        <v>1</v>
      </c>
      <c r="B14" s="48" t="n">
        <f aca="false">$B$8</f>
        <v>7</v>
      </c>
      <c r="C14" s="112" t="n">
        <f aca="false">B14*$B$10</f>
        <v>3.5</v>
      </c>
      <c r="D14" s="18" t="n">
        <f aca="false">C14*$B$4</f>
        <v>3500</v>
      </c>
      <c r="E14" s="18" t="n">
        <f aca="false">D14*$B$5</f>
        <v>280</v>
      </c>
      <c r="F14" s="113" t="n">
        <f aca="false">D14*$B$6+C14*$B$7</f>
        <v>102.55</v>
      </c>
      <c r="G14" s="114" t="n">
        <f aca="false">E14-F14</f>
        <v>177.45</v>
      </c>
    </row>
    <row r="15" customFormat="false" ht="16.5" hidden="false" customHeight="true" outlineLevel="0" collapsed="false">
      <c r="A15" s="115" t="n">
        <v>2</v>
      </c>
      <c r="B15" s="47" t="n">
        <f aca="false">B14+$B$9</f>
        <v>9</v>
      </c>
      <c r="C15" s="116" t="n">
        <f aca="false">B15*$B$10</f>
        <v>4.5</v>
      </c>
      <c r="D15" s="117" t="n">
        <f aca="false">C15*$B$4</f>
        <v>4500</v>
      </c>
      <c r="E15" s="117" t="n">
        <f aca="false">D15*$B$5</f>
        <v>360</v>
      </c>
      <c r="F15" s="118" t="n">
        <f aca="false">D15*$B$6+C15*$B$7</f>
        <v>131.85</v>
      </c>
      <c r="G15" s="119" t="n">
        <f aca="false">E15-F15</f>
        <v>228.15</v>
      </c>
    </row>
    <row r="16" customFormat="false" ht="16.5" hidden="false" customHeight="true" outlineLevel="0" collapsed="false">
      <c r="A16" s="111" t="n">
        <v>3</v>
      </c>
      <c r="B16" s="48" t="n">
        <f aca="false">B15+$B$9</f>
        <v>11</v>
      </c>
      <c r="C16" s="112" t="n">
        <f aca="false">B16*$B$10</f>
        <v>5.5</v>
      </c>
      <c r="D16" s="18" t="n">
        <f aca="false">C16*$B$4</f>
        <v>5500</v>
      </c>
      <c r="E16" s="18" t="n">
        <f aca="false">D16*$B$5</f>
        <v>440</v>
      </c>
      <c r="F16" s="113" t="n">
        <f aca="false">D16*$B$6+C16*$B$7</f>
        <v>161.15</v>
      </c>
      <c r="G16" s="114" t="n">
        <f aca="false">E16-F16</f>
        <v>278.85</v>
      </c>
    </row>
    <row r="17" customFormat="false" ht="16.5" hidden="false" customHeight="true" outlineLevel="0" collapsed="false">
      <c r="A17" s="115" t="n">
        <v>4</v>
      </c>
      <c r="B17" s="47" t="n">
        <f aca="false">B16+$B$9</f>
        <v>13</v>
      </c>
      <c r="C17" s="116" t="n">
        <f aca="false">B17*$B$10</f>
        <v>6.5</v>
      </c>
      <c r="D17" s="117" t="n">
        <f aca="false">C17*$B$4</f>
        <v>6500</v>
      </c>
      <c r="E17" s="117" t="n">
        <f aca="false">D17*$B$5</f>
        <v>520</v>
      </c>
      <c r="F17" s="118" t="n">
        <f aca="false">D17*$B$6+C17*$B$7</f>
        <v>190.45</v>
      </c>
      <c r="G17" s="119" t="n">
        <f aca="false">E17-F17</f>
        <v>329.55</v>
      </c>
    </row>
    <row r="18" customFormat="false" ht="16.5" hidden="false" customHeight="true" outlineLevel="0" collapsed="false">
      <c r="A18" s="111" t="n">
        <v>5</v>
      </c>
      <c r="B18" s="48" t="n">
        <f aca="false">B17+$B$9</f>
        <v>15</v>
      </c>
      <c r="C18" s="112" t="n">
        <f aca="false">B18*$B$10</f>
        <v>7.5</v>
      </c>
      <c r="D18" s="18" t="n">
        <f aca="false">C18*$B$4</f>
        <v>7500</v>
      </c>
      <c r="E18" s="18" t="n">
        <f aca="false">D18*$B$5</f>
        <v>600</v>
      </c>
      <c r="F18" s="113" t="n">
        <f aca="false">D18*$B$6+C18*$B$7</f>
        <v>219.75</v>
      </c>
      <c r="G18" s="114" t="n">
        <f aca="false">E18-F18</f>
        <v>380.25</v>
      </c>
    </row>
    <row r="19" customFormat="false" ht="16.5" hidden="false" customHeight="true" outlineLevel="0" collapsed="false">
      <c r="A19" s="115" t="n">
        <v>6</v>
      </c>
      <c r="B19" s="47" t="n">
        <f aca="false">B18+$B$9</f>
        <v>17</v>
      </c>
      <c r="C19" s="116" t="n">
        <f aca="false">B19*$B$10</f>
        <v>8.5</v>
      </c>
      <c r="D19" s="117" t="n">
        <f aca="false">C19*$B$4</f>
        <v>8500</v>
      </c>
      <c r="E19" s="117" t="n">
        <f aca="false">D19*$B$5</f>
        <v>680</v>
      </c>
      <c r="F19" s="118" t="n">
        <f aca="false">D19*$B$6+C19*$B$7</f>
        <v>249.05</v>
      </c>
      <c r="G19" s="119" t="n">
        <f aca="false">E19-F19</f>
        <v>430.95</v>
      </c>
    </row>
    <row r="20" customFormat="false" ht="16.5" hidden="false" customHeight="true" outlineLevel="0" collapsed="false">
      <c r="A20" s="111" t="n">
        <v>7</v>
      </c>
      <c r="B20" s="48" t="n">
        <f aca="false">B19+$B$9</f>
        <v>19</v>
      </c>
      <c r="C20" s="112" t="n">
        <f aca="false">B20*$B$10</f>
        <v>9.5</v>
      </c>
      <c r="D20" s="18" t="n">
        <f aca="false">C20*$B$4</f>
        <v>9500</v>
      </c>
      <c r="E20" s="18" t="n">
        <f aca="false">D20*$B$5</f>
        <v>760</v>
      </c>
      <c r="F20" s="113" t="n">
        <f aca="false">D20*$B$6+C20*$B$7</f>
        <v>278.35</v>
      </c>
      <c r="G20" s="114" t="n">
        <f aca="false">E20-F20</f>
        <v>481.65</v>
      </c>
    </row>
    <row r="21" customFormat="false" ht="16.5" hidden="false" customHeight="true" outlineLevel="0" collapsed="false">
      <c r="A21" s="115" t="n">
        <v>8</v>
      </c>
      <c r="B21" s="47" t="n">
        <f aca="false">B20+$B$9</f>
        <v>21</v>
      </c>
      <c r="C21" s="116" t="n">
        <f aca="false">B21*$B$10</f>
        <v>10.5</v>
      </c>
      <c r="D21" s="117" t="n">
        <f aca="false">C21*$B$4</f>
        <v>10500</v>
      </c>
      <c r="E21" s="117" t="n">
        <f aca="false">D21*$B$5</f>
        <v>840</v>
      </c>
      <c r="F21" s="118" t="n">
        <f aca="false">D21*$B$6+C21*$B$7</f>
        <v>307.65</v>
      </c>
      <c r="G21" s="119" t="n">
        <f aca="false">E21-F21</f>
        <v>532.35</v>
      </c>
    </row>
    <row r="22" customFormat="false" ht="16.5" hidden="false" customHeight="true" outlineLevel="0" collapsed="false">
      <c r="A22" s="111" t="n">
        <v>9</v>
      </c>
      <c r="B22" s="48" t="n">
        <f aca="false">B21+$B$9</f>
        <v>23</v>
      </c>
      <c r="C22" s="112" t="n">
        <f aca="false">B22*$B$10</f>
        <v>11.5</v>
      </c>
      <c r="D22" s="18" t="n">
        <f aca="false">C22*$B$4</f>
        <v>11500</v>
      </c>
      <c r="E22" s="18" t="n">
        <f aca="false">D22*$B$5</f>
        <v>920</v>
      </c>
      <c r="F22" s="113" t="n">
        <f aca="false">D22*$B$6+C22*$B$7</f>
        <v>336.95</v>
      </c>
      <c r="G22" s="114" t="n">
        <f aca="false">E22-F22</f>
        <v>583.05</v>
      </c>
    </row>
    <row r="23" customFormat="false" ht="16.5" hidden="false" customHeight="true" outlineLevel="0" collapsed="false">
      <c r="A23" s="115" t="n">
        <v>10</v>
      </c>
      <c r="B23" s="47" t="n">
        <f aca="false">B22+$B$9</f>
        <v>25</v>
      </c>
      <c r="C23" s="116" t="n">
        <f aca="false">B23*$B$10</f>
        <v>12.5</v>
      </c>
      <c r="D23" s="117" t="n">
        <f aca="false">C23*$B$4</f>
        <v>12500</v>
      </c>
      <c r="E23" s="117" t="n">
        <f aca="false">D23*$B$5</f>
        <v>1000</v>
      </c>
      <c r="F23" s="118" t="n">
        <f aca="false">D23*$B$6+C23*$B$7</f>
        <v>366.25</v>
      </c>
      <c r="G23" s="119" t="n">
        <f aca="false">E23-F23</f>
        <v>633.75</v>
      </c>
    </row>
    <row r="24" customFormat="false" ht="16.5" hidden="false" customHeight="true" outlineLevel="0" collapsed="false">
      <c r="A24" s="111" t="n">
        <v>11</v>
      </c>
      <c r="B24" s="48" t="n">
        <f aca="false">B23+$B$9</f>
        <v>27</v>
      </c>
      <c r="C24" s="112" t="n">
        <f aca="false">B24*$B$10</f>
        <v>13.5</v>
      </c>
      <c r="D24" s="18" t="n">
        <f aca="false">C24*$B$4</f>
        <v>13500</v>
      </c>
      <c r="E24" s="18" t="n">
        <f aca="false">D24*$B$5</f>
        <v>1080</v>
      </c>
      <c r="F24" s="113" t="n">
        <f aca="false">D24*$B$6+C24*$B$7</f>
        <v>395.55</v>
      </c>
      <c r="G24" s="114" t="n">
        <f aca="false">E24-F24</f>
        <v>684.45</v>
      </c>
    </row>
    <row r="25" customFormat="false" ht="16.5" hidden="false" customHeight="true" outlineLevel="0" collapsed="false">
      <c r="A25" s="115" t="n">
        <v>12</v>
      </c>
      <c r="B25" s="47" t="n">
        <f aca="false">B24+$B$9</f>
        <v>29</v>
      </c>
      <c r="C25" s="116" t="n">
        <f aca="false">B25*$B$10</f>
        <v>14.5</v>
      </c>
      <c r="D25" s="117" t="n">
        <f aca="false">C25*$B$4</f>
        <v>14500</v>
      </c>
      <c r="E25" s="117" t="n">
        <f aca="false">D25*$B$5</f>
        <v>1160</v>
      </c>
      <c r="F25" s="118" t="n">
        <f aca="false">D25*$B$6+C25*$B$7</f>
        <v>424.85</v>
      </c>
      <c r="G25" s="119" t="n">
        <f aca="false">E25-F25</f>
        <v>735.15</v>
      </c>
    </row>
    <row r="26" customFormat="false" ht="16.5" hidden="false" customHeight="true" outlineLevel="0" collapsed="false">
      <c r="A26" s="111" t="n">
        <v>13</v>
      </c>
      <c r="B26" s="48" t="n">
        <f aca="false">B25+$B$9</f>
        <v>31</v>
      </c>
      <c r="C26" s="112" t="n">
        <f aca="false">B26*$B$10</f>
        <v>15.5</v>
      </c>
      <c r="D26" s="18" t="n">
        <f aca="false">C26*$B$4</f>
        <v>15500</v>
      </c>
      <c r="E26" s="18" t="n">
        <f aca="false">D26*$B$5</f>
        <v>1240</v>
      </c>
      <c r="F26" s="113" t="n">
        <f aca="false">D26*$B$6+C26*$B$7</f>
        <v>454.15</v>
      </c>
      <c r="G26" s="114" t="n">
        <f aca="false">E26-F26</f>
        <v>785.85</v>
      </c>
    </row>
    <row r="27" customFormat="false" ht="16.5" hidden="false" customHeight="true" outlineLevel="0" collapsed="false">
      <c r="A27" s="115" t="n">
        <v>14</v>
      </c>
      <c r="B27" s="47" t="n">
        <f aca="false">B26+$B$9</f>
        <v>33</v>
      </c>
      <c r="C27" s="116" t="n">
        <f aca="false">B27*$B$10</f>
        <v>16.5</v>
      </c>
      <c r="D27" s="117" t="n">
        <f aca="false">C27*$B$4</f>
        <v>16500</v>
      </c>
      <c r="E27" s="117" t="n">
        <f aca="false">D27*$B$5</f>
        <v>1320</v>
      </c>
      <c r="F27" s="118" t="n">
        <f aca="false">D27*$B$6+C27*$B$7</f>
        <v>483.45</v>
      </c>
      <c r="G27" s="119" t="n">
        <f aca="false">E27-F27</f>
        <v>836.55</v>
      </c>
    </row>
    <row r="28" customFormat="false" ht="16.5" hidden="false" customHeight="true" outlineLevel="0" collapsed="false">
      <c r="A28" s="111" t="n">
        <v>15</v>
      </c>
      <c r="B28" s="48" t="n">
        <f aca="false">B27+$B$9</f>
        <v>35</v>
      </c>
      <c r="C28" s="112" t="n">
        <f aca="false">B28*$B$10</f>
        <v>17.5</v>
      </c>
      <c r="D28" s="18" t="n">
        <f aca="false">C28*$B$4</f>
        <v>17500</v>
      </c>
      <c r="E28" s="18" t="n">
        <f aca="false">D28*$B$5</f>
        <v>1400</v>
      </c>
      <c r="F28" s="113" t="n">
        <f aca="false">D28*$B$6+C28*$B$7</f>
        <v>512.75</v>
      </c>
      <c r="G28" s="114" t="n">
        <f aca="false">E28-F28</f>
        <v>887.25</v>
      </c>
    </row>
    <row r="29" customFormat="false" ht="16.5" hidden="false" customHeight="true" outlineLevel="0" collapsed="false">
      <c r="A29" s="115" t="n">
        <v>16</v>
      </c>
      <c r="B29" s="47" t="n">
        <f aca="false">B28+$B$9</f>
        <v>37</v>
      </c>
      <c r="C29" s="116" t="n">
        <f aca="false">B29*$B$10</f>
        <v>18.5</v>
      </c>
      <c r="D29" s="117" t="n">
        <f aca="false">C29*$B$4</f>
        <v>18500</v>
      </c>
      <c r="E29" s="117" t="n">
        <f aca="false">D29*$B$5</f>
        <v>1480</v>
      </c>
      <c r="F29" s="118" t="n">
        <f aca="false">D29*$B$6+C29*$B$7</f>
        <v>542.05</v>
      </c>
      <c r="G29" s="119" t="n">
        <f aca="false">E29-F29</f>
        <v>937.95</v>
      </c>
    </row>
    <row r="30" customFormat="false" ht="16.5" hidden="false" customHeight="true" outlineLevel="0" collapsed="false">
      <c r="A30" s="111" t="n">
        <v>17</v>
      </c>
      <c r="B30" s="48" t="n">
        <f aca="false">B29+$B$9</f>
        <v>39</v>
      </c>
      <c r="C30" s="112" t="n">
        <f aca="false">B30*$B$10</f>
        <v>19.5</v>
      </c>
      <c r="D30" s="18" t="n">
        <f aca="false">C30*$B$4</f>
        <v>19500</v>
      </c>
      <c r="E30" s="18" t="n">
        <f aca="false">D30*$B$5</f>
        <v>1560</v>
      </c>
      <c r="F30" s="113" t="n">
        <f aca="false">D30*$B$6+C30*$B$7</f>
        <v>571.35</v>
      </c>
      <c r="G30" s="114" t="n">
        <f aca="false">E30-F30</f>
        <v>988.65</v>
      </c>
    </row>
    <row r="31" customFormat="false" ht="16.5" hidden="false" customHeight="true" outlineLevel="0" collapsed="false">
      <c r="A31" s="115" t="n">
        <v>18</v>
      </c>
      <c r="B31" s="47" t="n">
        <f aca="false">B30+$B$9</f>
        <v>41</v>
      </c>
      <c r="C31" s="116" t="n">
        <f aca="false">B31*$B$10</f>
        <v>20.5</v>
      </c>
      <c r="D31" s="117" t="n">
        <f aca="false">C31*$B$4</f>
        <v>20500</v>
      </c>
      <c r="E31" s="117" t="n">
        <f aca="false">D31*$B$5</f>
        <v>1640</v>
      </c>
      <c r="F31" s="118" t="n">
        <f aca="false">D31*$B$6+C31*$B$7</f>
        <v>600.65</v>
      </c>
      <c r="G31" s="119" t="n">
        <f aca="false">E31-F31</f>
        <v>1039.35</v>
      </c>
    </row>
    <row r="32" customFormat="false" ht="16.5" hidden="false" customHeight="true" outlineLevel="0" collapsed="false">
      <c r="A32" s="111" t="n">
        <v>19</v>
      </c>
      <c r="B32" s="48" t="n">
        <f aca="false">B31+$B$9</f>
        <v>43</v>
      </c>
      <c r="C32" s="112" t="n">
        <f aca="false">B32*$B$10</f>
        <v>21.5</v>
      </c>
      <c r="D32" s="18" t="n">
        <f aca="false">C32*$B$4</f>
        <v>21500</v>
      </c>
      <c r="E32" s="18" t="n">
        <f aca="false">D32*$B$5</f>
        <v>1720</v>
      </c>
      <c r="F32" s="113" t="n">
        <f aca="false">D32*$B$6+C32*$B$7</f>
        <v>629.95</v>
      </c>
      <c r="G32" s="114" t="n">
        <f aca="false">E32-F32</f>
        <v>1090.05</v>
      </c>
    </row>
    <row r="33" customFormat="false" ht="16.5" hidden="false" customHeight="true" outlineLevel="0" collapsed="false">
      <c r="A33" s="115" t="n">
        <v>20</v>
      </c>
      <c r="B33" s="47" t="n">
        <f aca="false">B32+$B$9</f>
        <v>45</v>
      </c>
      <c r="C33" s="116" t="n">
        <f aca="false">B33*$B$10</f>
        <v>22.5</v>
      </c>
      <c r="D33" s="117" t="n">
        <f aca="false">C33*$B$4</f>
        <v>22500</v>
      </c>
      <c r="E33" s="117" t="n">
        <f aca="false">D33*$B$5</f>
        <v>1800</v>
      </c>
      <c r="F33" s="118" t="n">
        <f aca="false">D33*$B$6+C33*$B$7</f>
        <v>659.25</v>
      </c>
      <c r="G33" s="119" t="n">
        <f aca="false">E33-F33</f>
        <v>1140.75</v>
      </c>
    </row>
    <row r="34" customFormat="false" ht="16.5" hidden="false" customHeight="true" outlineLevel="0" collapsed="false">
      <c r="A34" s="111" t="n">
        <v>21</v>
      </c>
      <c r="B34" s="48" t="n">
        <f aca="false">B33+$B$9</f>
        <v>47</v>
      </c>
      <c r="C34" s="112" t="n">
        <f aca="false">B34*$B$10</f>
        <v>23.5</v>
      </c>
      <c r="D34" s="18" t="n">
        <f aca="false">C34*$B$4</f>
        <v>23500</v>
      </c>
      <c r="E34" s="18" t="n">
        <f aca="false">D34*$B$5</f>
        <v>1880</v>
      </c>
      <c r="F34" s="113" t="n">
        <f aca="false">D34*$B$6+C34*$B$7</f>
        <v>688.55</v>
      </c>
      <c r="G34" s="114" t="n">
        <f aca="false">E34-F34</f>
        <v>1191.45</v>
      </c>
    </row>
    <row r="35" customFormat="false" ht="16.5" hidden="false" customHeight="true" outlineLevel="0" collapsed="false">
      <c r="A35" s="115" t="n">
        <v>22</v>
      </c>
      <c r="B35" s="47" t="n">
        <f aca="false">B34+$B$9</f>
        <v>49</v>
      </c>
      <c r="C35" s="116" t="n">
        <f aca="false">B35*$B$10</f>
        <v>24.5</v>
      </c>
      <c r="D35" s="117" t="n">
        <f aca="false">C35*$B$4</f>
        <v>24500</v>
      </c>
      <c r="E35" s="117" t="n">
        <f aca="false">D35*$B$5</f>
        <v>1960</v>
      </c>
      <c r="F35" s="118" t="n">
        <f aca="false">D35*$B$6+C35*$B$7</f>
        <v>717.85</v>
      </c>
      <c r="G35" s="119" t="n">
        <f aca="false">E35-F35</f>
        <v>1242.15</v>
      </c>
    </row>
    <row r="36" customFormat="false" ht="16.5" hidden="false" customHeight="true" outlineLevel="0" collapsed="false">
      <c r="A36" s="111" t="n">
        <v>23</v>
      </c>
      <c r="B36" s="48" t="n">
        <f aca="false">B35+$B$9</f>
        <v>51</v>
      </c>
      <c r="C36" s="112" t="n">
        <f aca="false">B36*$B$10</f>
        <v>25.5</v>
      </c>
      <c r="D36" s="18" t="n">
        <f aca="false">C36*$B$4</f>
        <v>25500</v>
      </c>
      <c r="E36" s="18" t="n">
        <f aca="false">D36*$B$5</f>
        <v>2040</v>
      </c>
      <c r="F36" s="113" t="n">
        <f aca="false">D36*$B$6+C36*$B$7</f>
        <v>747.15</v>
      </c>
      <c r="G36" s="114" t="n">
        <f aca="false">E36-F36</f>
        <v>1292.85</v>
      </c>
    </row>
    <row r="37" customFormat="false" ht="16.5" hidden="false" customHeight="true" outlineLevel="0" collapsed="false">
      <c r="A37" s="115" t="n">
        <v>24</v>
      </c>
      <c r="B37" s="47" t="n">
        <f aca="false">B36+$B$9</f>
        <v>53</v>
      </c>
      <c r="C37" s="116" t="n">
        <f aca="false">B37*$B$10</f>
        <v>26.5</v>
      </c>
      <c r="D37" s="117" t="n">
        <f aca="false">C37*$B$4</f>
        <v>26500</v>
      </c>
      <c r="E37" s="117" t="n">
        <f aca="false">D37*$B$5</f>
        <v>2120</v>
      </c>
      <c r="F37" s="118" t="n">
        <f aca="false">D37*$B$6+C37*$B$7</f>
        <v>776.45</v>
      </c>
      <c r="G37" s="119" t="n">
        <f aca="false">E37-F37</f>
        <v>1343.55</v>
      </c>
    </row>
    <row r="38" customFormat="false" ht="15" hidden="false" customHeight="true" outlineLevel="0" collapsed="false">
      <c r="A38" s="59" t="s">
        <v>214</v>
      </c>
      <c r="C38" s="120" t="n">
        <f aca="false">SUM(C14:C37)</f>
        <v>360</v>
      </c>
      <c r="D38" s="120" t="n">
        <f aca="false">SUM(D14:D37)</f>
        <v>360000</v>
      </c>
      <c r="E38" s="120" t="n">
        <f aca="false">SUM(E14:E37)</f>
        <v>28800</v>
      </c>
      <c r="F38" s="120" t="n">
        <f aca="false">SUM(F14:F37)</f>
        <v>10548</v>
      </c>
      <c r="G38" s="120" t="n">
        <f aca="false">SUM(G14:G37)</f>
        <v>18252</v>
      </c>
    </row>
    <row r="42" customFormat="false" ht="15" hidden="false" customHeight="true" outlineLevel="0" collapsed="false">
      <c r="A42" s="121" t="s">
        <v>215</v>
      </c>
      <c r="B42" s="122" t="n">
        <f aca="false">IFERROR((Infrastructure!B11)/($B$4*$B$5-$B$4*$B$6-$B$7), 0)</f>
        <v>0.187376725838264</v>
      </c>
    </row>
  </sheetData>
  <mergeCells count="3">
    <mergeCell ref="A1:G1"/>
    <mergeCell ref="A3:C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95" t="s">
        <v>216</v>
      </c>
      <c r="B1" s="95"/>
      <c r="C1" s="95"/>
      <c r="D1" s="95"/>
      <c r="E1" s="95"/>
      <c r="F1" s="95"/>
      <c r="G1" s="95"/>
    </row>
    <row r="2" customFormat="false" ht="15" hidden="false" customHeight="true" outlineLevel="0" collapsed="false">
      <c r="A2" s="96" t="s">
        <v>217</v>
      </c>
      <c r="B2" s="96"/>
      <c r="C2" s="96"/>
      <c r="D2" s="96"/>
      <c r="E2" s="96"/>
      <c r="F2" s="96"/>
      <c r="G2" s="96"/>
    </row>
    <row r="4" customFormat="false" ht="15" hidden="false" customHeight="true" outlineLevel="0" collapsed="false">
      <c r="A4" s="80" t="s">
        <v>218</v>
      </c>
      <c r="B4" s="80"/>
      <c r="C4" s="80"/>
    </row>
    <row r="5" customFormat="false" ht="18" hidden="false" customHeight="true" outlineLevel="0" collapsed="false">
      <c r="A5" s="6" t="s">
        <v>219</v>
      </c>
      <c r="B5" s="108" t="n">
        <v>0.029</v>
      </c>
      <c r="C5" s="1" t="n">
        <v>0.029</v>
      </c>
    </row>
    <row r="6" customFormat="false" ht="18" hidden="false" customHeight="true" outlineLevel="0" collapsed="false">
      <c r="A6" s="6" t="s">
        <v>220</v>
      </c>
      <c r="B6" s="98" t="n">
        <v>0.3</v>
      </c>
    </row>
    <row r="7" customFormat="false" ht="18" hidden="false" customHeight="true" outlineLevel="0" collapsed="false">
      <c r="A7" s="6" t="s">
        <v>221</v>
      </c>
      <c r="B7" s="108" t="n">
        <v>0.08</v>
      </c>
    </row>
    <row r="8" customFormat="false" ht="15" hidden="false" customHeight="true" outlineLevel="0" collapsed="false">
      <c r="C8" s="104" t="n">
        <f aca="false">F14</f>
        <v>50.7</v>
      </c>
    </row>
    <row r="9" customFormat="false" ht="15" hidden="false" customHeight="true" outlineLevel="0" collapsed="false">
      <c r="A9" s="81" t="s">
        <v>222</v>
      </c>
      <c r="B9" s="81" t="s">
        <v>223</v>
      </c>
      <c r="C9" s="81" t="s">
        <v>224</v>
      </c>
      <c r="D9" s="81" t="s">
        <v>225</v>
      </c>
      <c r="E9" s="81" t="s">
        <v>226</v>
      </c>
      <c r="F9" s="81" t="s">
        <v>227</v>
      </c>
      <c r="G9" s="81" t="s">
        <v>228</v>
      </c>
    </row>
    <row r="10" customFormat="false" ht="18" hidden="false" customHeight="true" outlineLevel="0" collapsed="false">
      <c r="A10" s="7" t="n">
        <v>200</v>
      </c>
      <c r="B10" s="118" t="n">
        <f aca="false">A10*$B$7</f>
        <v>16</v>
      </c>
      <c r="C10" s="118" t="n">
        <f aca="false">A10*$B$5</f>
        <v>5.8</v>
      </c>
      <c r="D10" s="118" t="n">
        <f aca="false">$B$6</f>
        <v>0.3</v>
      </c>
      <c r="E10" s="123" t="n">
        <f aca="false">C10+D10</f>
        <v>6.1</v>
      </c>
      <c r="F10" s="124" t="n">
        <f aca="false">B10-E10</f>
        <v>9.9</v>
      </c>
      <c r="G10" s="125" t="n">
        <f aca="false">IFERROR(F10/A10,0)</f>
        <v>0.0495</v>
      </c>
    </row>
    <row r="11" customFormat="false" ht="18" hidden="false" customHeight="true" outlineLevel="0" collapsed="false">
      <c r="A11" s="126" t="n">
        <v>350</v>
      </c>
      <c r="B11" s="113" t="n">
        <f aca="false">A11*$B$7</f>
        <v>28</v>
      </c>
      <c r="C11" s="113" t="n">
        <f aca="false">A11*$B$5</f>
        <v>10.15</v>
      </c>
      <c r="D11" s="113" t="n">
        <f aca="false">$B$6</f>
        <v>0.3</v>
      </c>
      <c r="E11" s="127" t="n">
        <f aca="false">C11+D11</f>
        <v>10.45</v>
      </c>
      <c r="F11" s="128" t="n">
        <f aca="false">B11-E11</f>
        <v>17.55</v>
      </c>
      <c r="G11" s="129" t="n">
        <f aca="false">IFERROR(F11/A11,0)</f>
        <v>0.0501428571428571</v>
      </c>
    </row>
    <row r="12" customFormat="false" ht="18" hidden="false" customHeight="true" outlineLevel="0" collapsed="false">
      <c r="A12" s="7" t="n">
        <v>500</v>
      </c>
      <c r="B12" s="118" t="n">
        <f aca="false">A12*$B$7</f>
        <v>40</v>
      </c>
      <c r="C12" s="118" t="n">
        <f aca="false">A12*$B$5</f>
        <v>14.5</v>
      </c>
      <c r="D12" s="118" t="n">
        <f aca="false">$B$6</f>
        <v>0.3</v>
      </c>
      <c r="E12" s="123" t="n">
        <f aca="false">C12+D12</f>
        <v>14.8</v>
      </c>
      <c r="F12" s="124" t="n">
        <f aca="false">B12-E12</f>
        <v>25.2</v>
      </c>
      <c r="G12" s="125" t="n">
        <f aca="false">IFERROR(F12/A12,0)</f>
        <v>0.0504</v>
      </c>
    </row>
    <row r="13" customFormat="false" ht="18" hidden="false" customHeight="true" outlineLevel="0" collapsed="false">
      <c r="A13" s="126" t="n">
        <v>750</v>
      </c>
      <c r="B13" s="113" t="n">
        <f aca="false">A13*$B$7</f>
        <v>60</v>
      </c>
      <c r="C13" s="113" t="n">
        <f aca="false">A13*$B$5</f>
        <v>21.75</v>
      </c>
      <c r="D13" s="113" t="n">
        <f aca="false">$B$6</f>
        <v>0.3</v>
      </c>
      <c r="E13" s="127" t="n">
        <f aca="false">C13+D13</f>
        <v>22.05</v>
      </c>
      <c r="F13" s="128" t="n">
        <f aca="false">B13-E13</f>
        <v>37.95</v>
      </c>
      <c r="G13" s="129" t="n">
        <f aca="false">IFERROR(F13/A13,0)</f>
        <v>0.0506</v>
      </c>
    </row>
    <row r="14" customFormat="false" ht="18" hidden="false" customHeight="true" outlineLevel="0" collapsed="false">
      <c r="A14" s="7" t="n">
        <v>1000</v>
      </c>
      <c r="B14" s="118" t="n">
        <f aca="false">A14*$B$7</f>
        <v>80</v>
      </c>
      <c r="C14" s="118" t="n">
        <f aca="false">A14*$B$5</f>
        <v>29</v>
      </c>
      <c r="D14" s="118" t="n">
        <f aca="false">$B$6</f>
        <v>0.3</v>
      </c>
      <c r="E14" s="123" t="n">
        <f aca="false">C14+D14</f>
        <v>29.3</v>
      </c>
      <c r="F14" s="124" t="n">
        <f aca="false">B14-E14</f>
        <v>50.7</v>
      </c>
      <c r="G14" s="125" t="n">
        <f aca="false">IFERROR(F14/A14,0)</f>
        <v>0.0507</v>
      </c>
    </row>
    <row r="15" customFormat="false" ht="18" hidden="false" customHeight="true" outlineLevel="0" collapsed="false">
      <c r="A15" s="126" t="n">
        <v>1250</v>
      </c>
      <c r="B15" s="113" t="n">
        <f aca="false">A15*$B$7</f>
        <v>100</v>
      </c>
      <c r="C15" s="113" t="n">
        <f aca="false">A15*$B$5</f>
        <v>36.25</v>
      </c>
      <c r="D15" s="113" t="n">
        <f aca="false">$B$6</f>
        <v>0.3</v>
      </c>
      <c r="E15" s="127" t="n">
        <f aca="false">C15+D15</f>
        <v>36.55</v>
      </c>
      <c r="F15" s="128" t="n">
        <f aca="false">B15-E15</f>
        <v>63.45</v>
      </c>
      <c r="G15" s="129" t="n">
        <f aca="false">IFERROR(F15/A15,0)</f>
        <v>0.05076</v>
      </c>
    </row>
    <row r="16" customFormat="false" ht="18" hidden="false" customHeight="true" outlineLevel="0" collapsed="false">
      <c r="A16" s="7" t="n">
        <v>1500</v>
      </c>
      <c r="B16" s="118" t="n">
        <f aca="false">A16*$B$7</f>
        <v>120</v>
      </c>
      <c r="C16" s="118" t="n">
        <f aca="false">A16*$B$5</f>
        <v>43.5</v>
      </c>
      <c r="D16" s="118" t="n">
        <f aca="false">$B$6</f>
        <v>0.3</v>
      </c>
      <c r="E16" s="123" t="n">
        <f aca="false">C16+D16</f>
        <v>43.8</v>
      </c>
      <c r="F16" s="124" t="n">
        <f aca="false">B16-E16</f>
        <v>76.2</v>
      </c>
      <c r="G16" s="125" t="n">
        <f aca="false">IFERROR(F16/A16,0)</f>
        <v>0.0508</v>
      </c>
    </row>
    <row r="17" customFormat="false" ht="18" hidden="false" customHeight="true" outlineLevel="0" collapsed="false">
      <c r="A17" s="126" t="n">
        <v>2000</v>
      </c>
      <c r="B17" s="113" t="n">
        <f aca="false">A17*$B$7</f>
        <v>160</v>
      </c>
      <c r="C17" s="113" t="n">
        <f aca="false">A17*$B$5</f>
        <v>58</v>
      </c>
      <c r="D17" s="113" t="n">
        <f aca="false">$B$6</f>
        <v>0.3</v>
      </c>
      <c r="E17" s="127" t="n">
        <f aca="false">C17+D17</f>
        <v>58.3</v>
      </c>
      <c r="F17" s="128" t="n">
        <f aca="false">B17-E17</f>
        <v>101.7</v>
      </c>
      <c r="G17" s="129" t="n">
        <f aca="false">IFERROR(F17/A17,0)</f>
        <v>0.05085</v>
      </c>
    </row>
    <row r="18" customFormat="false" ht="18" hidden="false" customHeight="true" outlineLevel="0" collapsed="false">
      <c r="A18" s="7" t="n">
        <v>2500</v>
      </c>
      <c r="B18" s="118" t="n">
        <f aca="false">A18*$B$7</f>
        <v>200</v>
      </c>
      <c r="C18" s="118" t="n">
        <f aca="false">A18*$B$5</f>
        <v>72.5</v>
      </c>
      <c r="D18" s="118" t="n">
        <f aca="false">$B$6</f>
        <v>0.3</v>
      </c>
      <c r="E18" s="123" t="n">
        <f aca="false">C18+D18</f>
        <v>72.8</v>
      </c>
      <c r="F18" s="124" t="n">
        <f aca="false">B18-E18</f>
        <v>127.2</v>
      </c>
      <c r="G18" s="125" t="n">
        <f aca="false">IFERROR(F18/A18,0)</f>
        <v>0.05088</v>
      </c>
    </row>
    <row r="19" customFormat="false" ht="18" hidden="false" customHeight="true" outlineLevel="0" collapsed="false">
      <c r="A19" s="126" t="n">
        <v>3000</v>
      </c>
      <c r="B19" s="113" t="n">
        <f aca="false">A19*$B$7</f>
        <v>240</v>
      </c>
      <c r="C19" s="113" t="n">
        <f aca="false">A19*$B$5</f>
        <v>87</v>
      </c>
      <c r="D19" s="113" t="n">
        <f aca="false">$B$6</f>
        <v>0.3</v>
      </c>
      <c r="E19" s="127" t="n">
        <f aca="false">C19+D19</f>
        <v>87.3</v>
      </c>
      <c r="F19" s="128" t="n">
        <f aca="false">B19-E19</f>
        <v>152.7</v>
      </c>
      <c r="G19" s="129" t="n">
        <f aca="false">IFERROR(F19/A19,0)</f>
        <v>0.0509</v>
      </c>
    </row>
    <row r="21" customFormat="false" ht="30" hidden="false" customHeight="true" outlineLevel="0" collapsed="false">
      <c r="A21" s="130" t="s">
        <v>229</v>
      </c>
      <c r="B21" s="130"/>
      <c r="C21" s="130"/>
      <c r="D21" s="130"/>
      <c r="E21" s="130"/>
      <c r="F21" s="130"/>
      <c r="G21" s="130"/>
    </row>
  </sheetData>
  <mergeCells count="4">
    <mergeCell ref="A1:G1"/>
    <mergeCell ref="A2:G2"/>
    <mergeCell ref="A4:C4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95" t="s">
        <v>230</v>
      </c>
      <c r="B1" s="95"/>
      <c r="C1" s="95"/>
      <c r="D1" s="95"/>
    </row>
    <row r="2" customFormat="false" ht="15" hidden="false" customHeight="true" outlineLevel="0" collapsed="false">
      <c r="A2" s="131" t="s">
        <v>231</v>
      </c>
      <c r="B2" s="131"/>
      <c r="C2" s="131"/>
      <c r="D2" s="131"/>
    </row>
    <row r="4" customFormat="false" ht="15" hidden="false" customHeight="true" outlineLevel="0" collapsed="false">
      <c r="A4" s="132" t="s">
        <v>232</v>
      </c>
      <c r="B4" s="132"/>
      <c r="C4" s="132"/>
      <c r="D4" s="132"/>
    </row>
    <row r="5" customFormat="false" ht="18" hidden="false" customHeight="true" outlineLevel="0" collapsed="false">
      <c r="A5" s="6" t="s">
        <v>233</v>
      </c>
      <c r="B5" s="106" t="n">
        <v>800</v>
      </c>
      <c r="C5" s="133" t="s">
        <v>234</v>
      </c>
      <c r="D5" s="100" t="s">
        <v>235</v>
      </c>
    </row>
    <row r="6" customFormat="false" ht="18" hidden="false" customHeight="true" outlineLevel="0" collapsed="false">
      <c r="A6" s="6" t="s">
        <v>236</v>
      </c>
      <c r="B6" s="106" t="n">
        <v>99</v>
      </c>
      <c r="C6" s="134" t="n">
        <f aca="false">B5</f>
        <v>800</v>
      </c>
      <c r="D6" s="100" t="s">
        <v>237</v>
      </c>
    </row>
    <row r="8" customFormat="false" ht="15" hidden="false" customHeight="true" outlineLevel="0" collapsed="false">
      <c r="A8" s="88" t="s">
        <v>238</v>
      </c>
      <c r="B8" s="88"/>
      <c r="C8" s="88"/>
      <c r="D8" s="88"/>
    </row>
    <row r="9" customFormat="false" ht="18" hidden="false" customHeight="true" outlineLevel="0" collapsed="false">
      <c r="A9" s="6" t="s">
        <v>239</v>
      </c>
      <c r="B9" s="108" t="n">
        <v>0.153</v>
      </c>
      <c r="C9" s="107"/>
      <c r="D9" s="100" t="s">
        <v>240</v>
      </c>
    </row>
    <row r="10" customFormat="false" ht="18" hidden="false" customHeight="true" outlineLevel="0" collapsed="false">
      <c r="A10" s="6" t="s">
        <v>241</v>
      </c>
      <c r="B10" s="108" t="n">
        <v>0.093</v>
      </c>
      <c r="C10" s="107"/>
      <c r="D10" s="100" t="s">
        <v>242</v>
      </c>
    </row>
    <row r="11" customFormat="false" ht="18" hidden="false" customHeight="true" outlineLevel="0" collapsed="false">
      <c r="A11" s="6" t="s">
        <v>243</v>
      </c>
      <c r="B11" s="108" t="n">
        <v>0.22</v>
      </c>
      <c r="C11" s="107"/>
      <c r="D11" s="100" t="s">
        <v>244</v>
      </c>
    </row>
    <row r="12" customFormat="false" ht="18" hidden="false" customHeight="true" outlineLevel="0" collapsed="false">
      <c r="A12" s="6" t="s">
        <v>245</v>
      </c>
      <c r="B12" s="108" t="n">
        <v>0.33</v>
      </c>
      <c r="C12" s="107"/>
      <c r="D12" s="100" t="s">
        <v>246</v>
      </c>
    </row>
    <row r="14" customFormat="false" ht="15" hidden="false" customHeight="true" outlineLevel="0" collapsed="false">
      <c r="A14" s="80" t="s">
        <v>247</v>
      </c>
      <c r="B14" s="80"/>
      <c r="C14" s="80"/>
      <c r="D14" s="80"/>
    </row>
    <row r="15" customFormat="false" ht="18" hidden="false" customHeight="true" outlineLevel="0" collapsed="false">
      <c r="A15" s="6" t="s">
        <v>248</v>
      </c>
      <c r="B15" s="135" t="n">
        <v>2000</v>
      </c>
      <c r="D15" s="100" t="s">
        <v>249</v>
      </c>
    </row>
    <row r="16" customFormat="false" ht="18" hidden="false" customHeight="true" outlineLevel="0" collapsed="false">
      <c r="A16" s="6" t="s">
        <v>250</v>
      </c>
      <c r="B16" s="136" t="n">
        <f aca="false">B15*12</f>
        <v>24000</v>
      </c>
    </row>
    <row r="17" customFormat="false" ht="18" hidden="false" customHeight="true" outlineLevel="0" collapsed="false">
      <c r="A17" s="6" t="s">
        <v>251</v>
      </c>
      <c r="B17" s="18" t="n">
        <f aca="false">$B$5</f>
        <v>800</v>
      </c>
      <c r="C17" s="107"/>
      <c r="D17" s="107"/>
    </row>
    <row r="18" customFormat="false" ht="18" hidden="false" customHeight="true" outlineLevel="0" collapsed="false">
      <c r="A18" s="6" t="s">
        <v>252</v>
      </c>
      <c r="B18" s="18" t="n">
        <f aca="false">B16*$B$9</f>
        <v>3672</v>
      </c>
      <c r="C18" s="107"/>
      <c r="D18" s="107"/>
    </row>
    <row r="19" customFormat="false" ht="18" hidden="false" customHeight="true" outlineLevel="0" collapsed="false">
      <c r="A19" s="6" t="s">
        <v>253</v>
      </c>
      <c r="B19" s="18" t="n">
        <f aca="false">B16*$B$10</f>
        <v>2232</v>
      </c>
      <c r="C19" s="107"/>
      <c r="D19" s="107"/>
    </row>
    <row r="20" customFormat="false" ht="18" hidden="false" customHeight="true" outlineLevel="0" collapsed="false">
      <c r="A20" s="6" t="s">
        <v>254</v>
      </c>
      <c r="B20" s="18" t="n">
        <f aca="false">B16*$B$11</f>
        <v>5280</v>
      </c>
      <c r="C20" s="137" t="n">
        <f aca="false">B12</f>
        <v>0.33</v>
      </c>
      <c r="D20" s="107"/>
    </row>
    <row r="21" customFormat="false" ht="18" hidden="false" customHeight="true" outlineLevel="0" collapsed="false">
      <c r="A21" s="59" t="s">
        <v>255</v>
      </c>
      <c r="B21" s="138" t="n">
        <f aca="false">SUM(B17:B20)</f>
        <v>11984</v>
      </c>
      <c r="C21" s="107"/>
      <c r="D21" s="107"/>
    </row>
    <row r="22" customFormat="false" ht="18" hidden="false" customHeight="true" outlineLevel="0" collapsed="false">
      <c r="A22" s="6" t="s">
        <v>256</v>
      </c>
      <c r="B22" s="18" t="n">
        <f aca="false">B21/12</f>
        <v>998.666666666667</v>
      </c>
      <c r="C22" s="107"/>
      <c r="D22" s="107"/>
    </row>
    <row r="23" customFormat="false" ht="18" hidden="false" customHeight="true" outlineLevel="0" collapsed="false">
      <c r="A23" s="6" t="s">
        <v>257</v>
      </c>
      <c r="B23" s="129" t="n">
        <f aca="false">IFERROR(B21/B16,0)</f>
        <v>0.499333333333333</v>
      </c>
      <c r="C23" s="107"/>
      <c r="D23" s="107"/>
    </row>
    <row r="25" customFormat="false" ht="15" hidden="false" customHeight="true" outlineLevel="0" collapsed="false">
      <c r="A25" s="97" t="s">
        <v>258</v>
      </c>
      <c r="B25" s="97"/>
      <c r="C25" s="97"/>
      <c r="D25" s="97"/>
    </row>
    <row r="26" customFormat="false" ht="18" hidden="false" customHeight="true" outlineLevel="0" collapsed="false">
      <c r="A26" s="6" t="s">
        <v>259</v>
      </c>
      <c r="B26" s="136" t="n">
        <f aca="false">B21/4</f>
        <v>2996</v>
      </c>
      <c r="D26" s="100" t="s">
        <v>260</v>
      </c>
    </row>
    <row r="27" customFormat="false" ht="18" hidden="false" customHeight="true" outlineLevel="0" collapsed="false">
      <c r="A27" s="12" t="s">
        <v>261</v>
      </c>
      <c r="B27" s="13" t="n">
        <f aca="false">$B$26</f>
        <v>2996</v>
      </c>
      <c r="C27" s="139" t="s">
        <v>262</v>
      </c>
      <c r="D27" s="107"/>
    </row>
    <row r="28" customFormat="false" ht="18" hidden="false" customHeight="true" outlineLevel="0" collapsed="false">
      <c r="A28" s="12" t="s">
        <v>263</v>
      </c>
      <c r="B28" s="13" t="n">
        <f aca="false">$B$26</f>
        <v>2996</v>
      </c>
      <c r="C28" s="139" t="s">
        <v>264</v>
      </c>
      <c r="D28" s="107"/>
    </row>
    <row r="29" customFormat="false" ht="18" hidden="false" customHeight="true" outlineLevel="0" collapsed="false">
      <c r="A29" s="12" t="s">
        <v>265</v>
      </c>
      <c r="B29" s="13" t="n">
        <f aca="false">$B$26</f>
        <v>2996</v>
      </c>
      <c r="C29" s="139" t="s">
        <v>266</v>
      </c>
      <c r="D29" s="107"/>
    </row>
    <row r="30" customFormat="false" ht="18" hidden="false" customHeight="true" outlineLevel="0" collapsed="false">
      <c r="A30" s="12" t="s">
        <v>267</v>
      </c>
      <c r="B30" s="13" t="n">
        <f aca="false">$B$26</f>
        <v>2996</v>
      </c>
      <c r="C30" s="139" t="s">
        <v>268</v>
      </c>
      <c r="D30" s="107"/>
    </row>
    <row r="32" customFormat="false" ht="15" hidden="false" customHeight="false" outlineLevel="0" collapsed="false">
      <c r="A32" s="92" t="s">
        <v>269</v>
      </c>
    </row>
    <row r="33" customFormat="false" ht="15" hidden="false" customHeight="false" outlineLevel="0" collapsed="false">
      <c r="A33" s="1" t="s">
        <v>270</v>
      </c>
      <c r="B33" s="140" t="n">
        <v>70</v>
      </c>
      <c r="D33" s="1" t="s">
        <v>271</v>
      </c>
    </row>
    <row r="34" customFormat="false" ht="15" hidden="false" customHeight="false" outlineLevel="0" collapsed="false">
      <c r="A34" s="1" t="s">
        <v>272</v>
      </c>
      <c r="B34" s="140" t="n">
        <v>20</v>
      </c>
      <c r="D34" s="1" t="s">
        <v>273</v>
      </c>
    </row>
    <row r="35" customFormat="false" ht="15" hidden="false" customHeight="false" outlineLevel="0" collapsed="false">
      <c r="A35" s="1" t="s">
        <v>274</v>
      </c>
      <c r="B35" s="140" t="n">
        <v>800</v>
      </c>
      <c r="D35" s="1" t="s">
        <v>275</v>
      </c>
    </row>
    <row r="36" customFormat="false" ht="15" hidden="false" customHeight="false" outlineLevel="0" collapsed="false">
      <c r="A36" s="92" t="s">
        <v>276</v>
      </c>
      <c r="B36" s="141" t="n">
        <f aca="false">SUM(B33:B35)</f>
        <v>890</v>
      </c>
    </row>
  </sheetData>
  <mergeCells count="6">
    <mergeCell ref="A1:D1"/>
    <mergeCell ref="A2:D2"/>
    <mergeCell ref="A4:D4"/>
    <mergeCell ref="A8:D8"/>
    <mergeCell ref="A14:D1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5" t="s">
        <v>277</v>
      </c>
      <c r="B1" s="95"/>
      <c r="C1" s="95"/>
      <c r="D1" s="95"/>
      <c r="E1" s="95"/>
      <c r="F1" s="95"/>
    </row>
    <row r="2" customFormat="false" ht="15" hidden="false" customHeight="true" outlineLevel="0" collapsed="false">
      <c r="A2" s="3" t="s">
        <v>278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279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45" t="s">
        <v>280</v>
      </c>
      <c r="B5" s="142" t="s">
        <v>123</v>
      </c>
      <c r="C5" s="142"/>
      <c r="D5" s="142"/>
      <c r="E5" s="142"/>
      <c r="F5" s="142"/>
    </row>
    <row r="6" customFormat="false" ht="18" hidden="false" customHeight="true" outlineLevel="0" collapsed="false">
      <c r="A6" s="59" t="s">
        <v>281</v>
      </c>
      <c r="B6" s="91" t="s">
        <v>282</v>
      </c>
      <c r="C6" s="91"/>
      <c r="D6" s="91"/>
      <c r="E6" s="91"/>
      <c r="F6" s="91"/>
    </row>
    <row r="7" customFormat="false" ht="18" hidden="false" customHeight="true" outlineLevel="0" collapsed="false">
      <c r="A7" s="59" t="s">
        <v>283</v>
      </c>
      <c r="B7" s="91" t="s">
        <v>284</v>
      </c>
      <c r="C7" s="91"/>
      <c r="D7" s="91"/>
      <c r="E7" s="91"/>
      <c r="F7" s="91"/>
    </row>
    <row r="8" customFormat="false" ht="18" hidden="false" customHeight="true" outlineLevel="0" collapsed="false">
      <c r="A8" s="59" t="s">
        <v>285</v>
      </c>
      <c r="B8" s="91" t="s">
        <v>286</v>
      </c>
      <c r="C8" s="91"/>
      <c r="D8" s="91"/>
      <c r="E8" s="91"/>
      <c r="F8" s="91"/>
    </row>
    <row r="9" customFormat="false" ht="18" hidden="false" customHeight="true" outlineLevel="0" collapsed="false">
      <c r="A9" s="59" t="s">
        <v>287</v>
      </c>
      <c r="B9" s="91" t="s">
        <v>288</v>
      </c>
      <c r="C9" s="91"/>
      <c r="D9" s="91"/>
      <c r="E9" s="91"/>
      <c r="F9" s="91"/>
    </row>
    <row r="10" customFormat="false" ht="18" hidden="false" customHeight="true" outlineLevel="0" collapsed="false">
      <c r="A10" s="59" t="s">
        <v>289</v>
      </c>
      <c r="B10" s="91" t="s">
        <v>290</v>
      </c>
      <c r="C10" s="91"/>
      <c r="D10" s="91"/>
      <c r="E10" s="91"/>
      <c r="F10" s="91"/>
    </row>
    <row r="11" customFormat="false" ht="18" hidden="false" customHeight="true" outlineLevel="0" collapsed="false">
      <c r="A11" s="59" t="s">
        <v>291</v>
      </c>
      <c r="B11" s="91" t="s">
        <v>292</v>
      </c>
      <c r="C11" s="91"/>
      <c r="D11" s="91"/>
      <c r="E11" s="91"/>
      <c r="F11" s="91"/>
    </row>
    <row r="13" customFormat="false" ht="15" hidden="false" customHeight="true" outlineLevel="0" collapsed="false">
      <c r="A13" s="23" t="s">
        <v>293</v>
      </c>
      <c r="B13" s="23"/>
      <c r="C13" s="23"/>
      <c r="D13" s="23"/>
      <c r="E13" s="23"/>
      <c r="F13" s="23"/>
    </row>
    <row r="14" customFormat="false" ht="15" hidden="false" customHeight="true" outlineLevel="0" collapsed="false">
      <c r="A14" s="24" t="s">
        <v>294</v>
      </c>
      <c r="B14" s="24" t="s">
        <v>295</v>
      </c>
      <c r="C14" s="24" t="s">
        <v>296</v>
      </c>
      <c r="D14" s="24" t="s">
        <v>68</v>
      </c>
      <c r="E14" s="24" t="s">
        <v>101</v>
      </c>
      <c r="F14" s="24" t="s">
        <v>46</v>
      </c>
    </row>
    <row r="15" customFormat="false" ht="19.5" hidden="false" customHeight="true" outlineLevel="0" collapsed="false">
      <c r="A15" s="59" t="s">
        <v>297</v>
      </c>
      <c r="B15" s="143" t="n">
        <v>14</v>
      </c>
      <c r="C15" s="64" t="n">
        <f aca="false">B15</f>
        <v>14</v>
      </c>
      <c r="D15" s="61" t="n">
        <v>50</v>
      </c>
      <c r="E15" s="63" t="n">
        <f aca="false">B15*D15</f>
        <v>700</v>
      </c>
      <c r="F15" s="100" t="s">
        <v>298</v>
      </c>
    </row>
    <row r="16" customFormat="false" ht="19.5" hidden="false" customHeight="true" outlineLevel="0" collapsed="false">
      <c r="A16" s="58" t="s">
        <v>299</v>
      </c>
      <c r="B16" s="144" t="n">
        <v>11</v>
      </c>
      <c r="C16" s="13" t="n">
        <f aca="false">B16</f>
        <v>11</v>
      </c>
      <c r="D16" s="40" t="n">
        <v>30</v>
      </c>
      <c r="E16" s="42" t="n">
        <f aca="false">B16*D16</f>
        <v>330</v>
      </c>
      <c r="F16" s="100" t="s">
        <v>300</v>
      </c>
    </row>
    <row r="17" customFormat="false" ht="19.5" hidden="false" customHeight="true" outlineLevel="0" collapsed="false">
      <c r="A17" s="20" t="s">
        <v>301</v>
      </c>
      <c r="B17" s="145" t="n">
        <v>9</v>
      </c>
      <c r="C17" s="38" t="n">
        <f aca="false">B17</f>
        <v>9</v>
      </c>
      <c r="D17" s="36" t="n">
        <v>20</v>
      </c>
      <c r="E17" s="21" t="n">
        <f aca="false">B17*D17</f>
        <v>180</v>
      </c>
      <c r="F17" s="100" t="s">
        <v>302</v>
      </c>
    </row>
    <row r="18" customFormat="false" ht="19.5" hidden="false" customHeight="true" outlineLevel="0" collapsed="false">
      <c r="A18" s="20" t="s">
        <v>303</v>
      </c>
      <c r="B18" s="22"/>
      <c r="C18" s="22"/>
      <c r="D18" s="22"/>
      <c r="E18" s="44" t="n">
        <f aca="false">SUM(E15:E17)</f>
        <v>1210</v>
      </c>
      <c r="F18" s="22"/>
    </row>
    <row r="20" customFormat="false" ht="15" hidden="false" customHeight="true" outlineLevel="0" collapsed="false">
      <c r="A20" s="11" t="s">
        <v>304</v>
      </c>
      <c r="B20" s="11"/>
      <c r="C20" s="11"/>
      <c r="D20" s="11"/>
      <c r="E20" s="11"/>
      <c r="F20" s="11"/>
    </row>
    <row r="21" customFormat="false" ht="15" hidden="false" customHeight="true" outlineLevel="0" collapsed="false">
      <c r="A21" s="53" t="s">
        <v>305</v>
      </c>
      <c r="B21" s="53" t="s">
        <v>306</v>
      </c>
      <c r="C21" s="146" t="s">
        <v>307</v>
      </c>
      <c r="D21" s="146"/>
      <c r="E21" s="146"/>
      <c r="F21" s="146"/>
    </row>
    <row r="22" customFormat="false" ht="21.75" hidden="false" customHeight="true" outlineLevel="0" collapsed="false">
      <c r="A22" s="58" t="s">
        <v>308</v>
      </c>
      <c r="B22" s="58" t="s">
        <v>309</v>
      </c>
      <c r="C22" s="147" t="s">
        <v>310</v>
      </c>
      <c r="D22" s="147"/>
      <c r="E22" s="147"/>
      <c r="F22" s="147"/>
    </row>
    <row r="23" customFormat="false" ht="21.75" hidden="false" customHeight="true" outlineLevel="0" collapsed="false">
      <c r="A23" s="51" t="s">
        <v>311</v>
      </c>
      <c r="B23" s="51" t="s">
        <v>312</v>
      </c>
      <c r="C23" s="148" t="s">
        <v>313</v>
      </c>
      <c r="D23" s="148"/>
      <c r="E23" s="148"/>
      <c r="F23" s="148"/>
    </row>
    <row r="24" customFormat="false" ht="21.75" hidden="false" customHeight="true" outlineLevel="0" collapsed="false">
      <c r="A24" s="58" t="s">
        <v>314</v>
      </c>
      <c r="B24" s="58" t="s">
        <v>315</v>
      </c>
      <c r="C24" s="147" t="s">
        <v>316</v>
      </c>
      <c r="D24" s="147"/>
      <c r="E24" s="147"/>
      <c r="F24" s="147"/>
    </row>
    <row r="25" customFormat="false" ht="21.75" hidden="false" customHeight="true" outlineLevel="0" collapsed="false">
      <c r="A25" s="51" t="s">
        <v>317</v>
      </c>
      <c r="B25" s="51" t="s">
        <v>318</v>
      </c>
      <c r="C25" s="148" t="s">
        <v>319</v>
      </c>
      <c r="D25" s="148"/>
      <c r="E25" s="148"/>
      <c r="F25" s="148"/>
    </row>
    <row r="26" customFormat="false" ht="21.75" hidden="false" customHeight="true" outlineLevel="0" collapsed="false">
      <c r="A26" s="58" t="s">
        <v>320</v>
      </c>
      <c r="B26" s="58" t="s">
        <v>321</v>
      </c>
      <c r="C26" s="147" t="s">
        <v>322</v>
      </c>
      <c r="D26" s="147"/>
      <c r="E26" s="147"/>
      <c r="F26" s="147"/>
    </row>
  </sheetData>
  <mergeCells count="18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A13:F13"/>
    <mergeCell ref="A20:F20"/>
    <mergeCell ref="C21:F21"/>
    <mergeCell ref="C22:F22"/>
    <mergeCell ref="C23:F23"/>
    <mergeCell ref="C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  <col collapsed="false" customWidth="true" hidden="false" outlineLevel="0" max="7" min="7" style="1" width="26"/>
  </cols>
  <sheetData>
    <row r="1" customFormat="false" ht="15.75" hidden="false" customHeight="true" outlineLevel="0" collapsed="false">
      <c r="A1" s="149" t="s">
        <v>323</v>
      </c>
      <c r="B1" s="149"/>
      <c r="C1" s="149"/>
      <c r="D1" s="149"/>
      <c r="E1" s="149"/>
      <c r="F1" s="149"/>
      <c r="G1" s="149"/>
    </row>
    <row r="2" customFormat="false" ht="15" hidden="false" customHeight="true" outlineLevel="0" collapsed="false">
      <c r="A2" s="3" t="s">
        <v>324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23" t="s">
        <v>325</v>
      </c>
      <c r="B4" s="23"/>
      <c r="C4" s="23"/>
      <c r="D4" s="23"/>
      <c r="E4" s="23"/>
      <c r="F4" s="23"/>
      <c r="G4" s="23"/>
    </row>
    <row r="5" customFormat="false" ht="15" hidden="false" customHeight="true" outlineLevel="0" collapsed="false">
      <c r="A5" s="24" t="s">
        <v>326</v>
      </c>
      <c r="B5" s="24" t="s">
        <v>327</v>
      </c>
      <c r="C5" s="24" t="s">
        <v>328</v>
      </c>
      <c r="D5" s="24" t="s">
        <v>329</v>
      </c>
      <c r="E5" s="24" t="s">
        <v>330</v>
      </c>
      <c r="F5" s="24" t="s">
        <v>331</v>
      </c>
      <c r="G5" s="24" t="s">
        <v>46</v>
      </c>
    </row>
    <row r="6" customFormat="false" ht="39.75" hidden="false" customHeight="true" outlineLevel="0" collapsed="false">
      <c r="A6" s="54" t="s">
        <v>332</v>
      </c>
      <c r="B6" s="150" t="n">
        <v>0.029</v>
      </c>
      <c r="C6" s="151" t="n">
        <v>0.3</v>
      </c>
      <c r="D6" s="152" t="s">
        <v>333</v>
      </c>
      <c r="E6" s="152" t="s">
        <v>334</v>
      </c>
      <c r="F6" s="152" t="s">
        <v>335</v>
      </c>
      <c r="G6" s="100" t="s">
        <v>336</v>
      </c>
    </row>
    <row r="7" customFormat="false" ht="39.75" hidden="false" customHeight="true" outlineLevel="0" collapsed="false">
      <c r="A7" s="55" t="s">
        <v>337</v>
      </c>
      <c r="B7" s="153" t="n">
        <v>0.0249</v>
      </c>
      <c r="C7" s="154" t="n">
        <v>0.25</v>
      </c>
      <c r="D7" s="155" t="s">
        <v>333</v>
      </c>
      <c r="E7" s="155" t="s">
        <v>333</v>
      </c>
      <c r="F7" s="155" t="s">
        <v>338</v>
      </c>
      <c r="G7" s="100" t="s">
        <v>339</v>
      </c>
    </row>
    <row r="8" customFormat="false" ht="39.75" hidden="false" customHeight="true" outlineLevel="0" collapsed="false">
      <c r="A8" s="20" t="s">
        <v>340</v>
      </c>
      <c r="B8" s="156" t="n">
        <v>0.0259</v>
      </c>
      <c r="C8" s="157" t="n">
        <v>0.49</v>
      </c>
      <c r="D8" s="158" t="s">
        <v>333</v>
      </c>
      <c r="E8" s="158" t="s">
        <v>341</v>
      </c>
      <c r="F8" s="158" t="s">
        <v>333</v>
      </c>
      <c r="G8" s="159" t="s">
        <v>342</v>
      </c>
    </row>
    <row r="9" customFormat="false" ht="39.75" hidden="false" customHeight="true" outlineLevel="0" collapsed="false">
      <c r="A9" s="58" t="s">
        <v>343</v>
      </c>
      <c r="B9" s="160" t="n">
        <v>0</v>
      </c>
      <c r="C9" s="161" t="n">
        <v>0</v>
      </c>
      <c r="D9" s="162" t="s">
        <v>344</v>
      </c>
      <c r="E9" s="162" t="s">
        <v>345</v>
      </c>
      <c r="F9" s="162" t="s">
        <v>333</v>
      </c>
      <c r="G9" s="100" t="s">
        <v>346</v>
      </c>
    </row>
    <row r="10" customFormat="false" ht="39.75" hidden="false" customHeight="true" outlineLevel="0" collapsed="false">
      <c r="A10" s="49" t="s">
        <v>347</v>
      </c>
      <c r="B10" s="163" t="n">
        <v>0.0349</v>
      </c>
      <c r="C10" s="164" t="n">
        <v>0.49</v>
      </c>
      <c r="D10" s="165" t="s">
        <v>333</v>
      </c>
      <c r="E10" s="165" t="s">
        <v>348</v>
      </c>
      <c r="F10" s="165" t="s">
        <v>349</v>
      </c>
      <c r="G10" s="100" t="s">
        <v>350</v>
      </c>
    </row>
    <row r="11" customFormat="false" ht="39.75" hidden="false" customHeight="true" outlineLevel="0" collapsed="false">
      <c r="A11" s="49" t="s">
        <v>351</v>
      </c>
      <c r="B11" s="163" t="n">
        <v>0.029</v>
      </c>
      <c r="C11" s="164" t="n">
        <v>0.3</v>
      </c>
      <c r="D11" s="165" t="s">
        <v>333</v>
      </c>
      <c r="E11" s="165" t="s">
        <v>348</v>
      </c>
      <c r="F11" s="165" t="s">
        <v>352</v>
      </c>
      <c r="G11" s="100" t="s">
        <v>353</v>
      </c>
    </row>
    <row r="13" customFormat="false" ht="15" hidden="false" customHeight="true" outlineLevel="0" collapsed="false">
      <c r="A13" s="11" t="s">
        <v>354</v>
      </c>
      <c r="B13" s="11"/>
      <c r="C13" s="11"/>
      <c r="D13" s="11"/>
      <c r="E13" s="11"/>
      <c r="F13" s="11"/>
      <c r="G13" s="11"/>
    </row>
    <row r="14" customFormat="false" ht="15" hidden="false" customHeight="true" outlineLevel="0" collapsed="false">
      <c r="A14" s="53" t="s">
        <v>355</v>
      </c>
      <c r="B14" s="53" t="s">
        <v>356</v>
      </c>
      <c r="C14" s="53" t="s">
        <v>337</v>
      </c>
      <c r="D14" s="53" t="s">
        <v>357</v>
      </c>
      <c r="E14" s="53" t="s">
        <v>358</v>
      </c>
      <c r="F14" s="53" t="s">
        <v>359</v>
      </c>
      <c r="G14" s="53" t="s">
        <v>360</v>
      </c>
    </row>
    <row r="15" customFormat="false" ht="18" hidden="false" customHeight="true" outlineLevel="0" collapsed="false">
      <c r="A15" s="7" t="n">
        <v>200</v>
      </c>
      <c r="B15" s="118" t="n">
        <f aca="false">A15*0.029+0.3</f>
        <v>6.1</v>
      </c>
      <c r="C15" s="118" t="n">
        <f aca="false">A15*0.0249+0.25</f>
        <v>5.23</v>
      </c>
      <c r="D15" s="118" t="n">
        <f aca="false">A15*0.0259+0.49</f>
        <v>5.67</v>
      </c>
      <c r="E15" s="124" t="n">
        <f aca="false">MIN(A15*0.005,5)+0.25</f>
        <v>1.25</v>
      </c>
      <c r="F15" s="166" t="n">
        <f aca="false">B15-C15</f>
        <v>0.870000000000001</v>
      </c>
      <c r="G15" s="167" t="str">
        <f aca="false">IF(A15&lt;500,"Stripe (simplicity)","Helcim or Dwolla ACH")</f>
        <v>Stripe (simplicity)</v>
      </c>
    </row>
    <row r="16" customFormat="false" ht="18" hidden="false" customHeight="true" outlineLevel="0" collapsed="false">
      <c r="A16" s="126" t="n">
        <v>500</v>
      </c>
      <c r="B16" s="113" t="n">
        <f aca="false">A16*0.029+0.3</f>
        <v>14.8</v>
      </c>
      <c r="C16" s="113" t="n">
        <f aca="false">A16*0.0249+0.25</f>
        <v>12.7</v>
      </c>
      <c r="D16" s="113" t="n">
        <f aca="false">A16*0.0259+0.49</f>
        <v>13.44</v>
      </c>
      <c r="E16" s="128" t="n">
        <f aca="false">MIN(A16*0.005,5)+0.25</f>
        <v>2.75</v>
      </c>
      <c r="F16" s="168" t="n">
        <f aca="false">B16-C16</f>
        <v>2.1</v>
      </c>
      <c r="G16" s="169" t="str">
        <f aca="false">IF(A16&lt;500,"Stripe (simplicity)","Helcim or Dwolla ACH")</f>
        <v>Helcim or Dwolla ACH</v>
      </c>
    </row>
    <row r="17" customFormat="false" ht="18" hidden="false" customHeight="true" outlineLevel="0" collapsed="false">
      <c r="A17" s="7" t="n">
        <v>750</v>
      </c>
      <c r="B17" s="118" t="n">
        <f aca="false">A17*0.029+0.3</f>
        <v>22.05</v>
      </c>
      <c r="C17" s="118" t="n">
        <f aca="false">A17*0.0249+0.25</f>
        <v>18.925</v>
      </c>
      <c r="D17" s="118" t="n">
        <f aca="false">A17*0.0259+0.49</f>
        <v>19.915</v>
      </c>
      <c r="E17" s="124" t="n">
        <f aca="false">MIN(A17*0.005,5)+0.25</f>
        <v>4</v>
      </c>
      <c r="F17" s="166" t="n">
        <f aca="false">B17-C17</f>
        <v>3.125</v>
      </c>
      <c r="G17" s="167" t="str">
        <f aca="false">IF(A17&lt;500,"Stripe (simplicity)","Helcim or Dwolla ACH")</f>
        <v>Helcim or Dwolla ACH</v>
      </c>
    </row>
    <row r="18" customFormat="false" ht="18" hidden="false" customHeight="true" outlineLevel="0" collapsed="false">
      <c r="A18" s="126" t="n">
        <v>1000</v>
      </c>
      <c r="B18" s="113" t="n">
        <f aca="false">A18*0.029+0.3</f>
        <v>29.3</v>
      </c>
      <c r="C18" s="113" t="n">
        <f aca="false">A18*0.0249+0.25</f>
        <v>25.15</v>
      </c>
      <c r="D18" s="113" t="n">
        <f aca="false">A18*0.0259+0.49</f>
        <v>26.39</v>
      </c>
      <c r="E18" s="128" t="n">
        <f aca="false">MIN(A18*0.005,5)+0.25</f>
        <v>5.25</v>
      </c>
      <c r="F18" s="168" t="n">
        <f aca="false">B18-C18</f>
        <v>4.15</v>
      </c>
      <c r="G18" s="169" t="str">
        <f aca="false">IF(A18&lt;500,"Stripe (simplicity)","Helcim or Dwolla ACH")</f>
        <v>Helcim or Dwolla ACH</v>
      </c>
    </row>
    <row r="19" customFormat="false" ht="18" hidden="false" customHeight="true" outlineLevel="0" collapsed="false">
      <c r="A19" s="7" t="n">
        <v>1500</v>
      </c>
      <c r="B19" s="118" t="n">
        <f aca="false">A19*0.029+0.3</f>
        <v>43.8</v>
      </c>
      <c r="C19" s="118" t="n">
        <f aca="false">A19*0.0249+0.25</f>
        <v>37.6</v>
      </c>
      <c r="D19" s="118" t="n">
        <f aca="false">A19*0.0259+0.49</f>
        <v>39.34</v>
      </c>
      <c r="E19" s="124" t="n">
        <f aca="false">MIN(A19*0.005,5)+0.25</f>
        <v>5.25</v>
      </c>
      <c r="F19" s="166" t="n">
        <f aca="false">B19-C19</f>
        <v>6.2</v>
      </c>
      <c r="G19" s="167" t="str">
        <f aca="false">IF(A19&lt;500,"Stripe (simplicity)","Helcim or Dwolla ACH")</f>
        <v>Helcim or Dwolla ACH</v>
      </c>
    </row>
    <row r="20" customFormat="false" ht="18" hidden="false" customHeight="true" outlineLevel="0" collapsed="false">
      <c r="A20" s="126" t="n">
        <v>2000</v>
      </c>
      <c r="B20" s="113" t="n">
        <f aca="false">A20*0.029+0.3</f>
        <v>58.3</v>
      </c>
      <c r="C20" s="113" t="n">
        <f aca="false">A20*0.0249+0.25</f>
        <v>50.05</v>
      </c>
      <c r="D20" s="113" t="n">
        <f aca="false">A20*0.0259+0.49</f>
        <v>52.29</v>
      </c>
      <c r="E20" s="128" t="n">
        <f aca="false">MIN(A20*0.005,5)+0.25</f>
        <v>5.25</v>
      </c>
      <c r="F20" s="168" t="n">
        <f aca="false">B20-C20</f>
        <v>8.25</v>
      </c>
      <c r="G20" s="169" t="str">
        <f aca="false">IF(A20&lt;500,"Stripe (simplicity)","Helcim or Dwolla ACH")</f>
        <v>Helcim or Dwolla ACH</v>
      </c>
    </row>
    <row r="21" customFormat="false" ht="18" hidden="false" customHeight="true" outlineLevel="0" collapsed="false">
      <c r="A21" s="7" t="n">
        <v>2500</v>
      </c>
      <c r="B21" s="118" t="n">
        <f aca="false">A21*0.029+0.3</f>
        <v>72.8</v>
      </c>
      <c r="C21" s="118" t="n">
        <f aca="false">A21*0.0249+0.25</f>
        <v>62.5</v>
      </c>
      <c r="D21" s="118" t="n">
        <f aca="false">A21*0.0259+0.49</f>
        <v>65.24</v>
      </c>
      <c r="E21" s="124" t="n">
        <f aca="false">MIN(A21*0.005,5)+0.25</f>
        <v>5.25</v>
      </c>
      <c r="F21" s="166" t="n">
        <f aca="false">B21-C21</f>
        <v>10.3</v>
      </c>
      <c r="G21" s="167" t="str">
        <f aca="false">IF(A21&lt;500,"Stripe (simplicity)","Helcim or Dwolla ACH")</f>
        <v>Helcim or Dwolla ACH</v>
      </c>
    </row>
    <row r="23" customFormat="false" ht="18" hidden="false" customHeight="true" outlineLevel="0" collapsed="false">
      <c r="A23" s="4" t="s">
        <v>361</v>
      </c>
      <c r="B23" s="4"/>
      <c r="C23" s="4"/>
      <c r="D23" s="4"/>
      <c r="E23" s="4"/>
      <c r="F23" s="4"/>
      <c r="G23" s="4"/>
    </row>
    <row r="24" customFormat="false" ht="15" hidden="false" customHeight="true" outlineLevel="0" collapsed="false">
      <c r="A24" s="45" t="s">
        <v>98</v>
      </c>
      <c r="B24" s="45" t="s">
        <v>326</v>
      </c>
      <c r="C24" s="142" t="s">
        <v>362</v>
      </c>
      <c r="D24" s="142"/>
      <c r="E24" s="142"/>
      <c r="F24" s="142"/>
      <c r="G24" s="142"/>
    </row>
    <row r="25" customFormat="false" ht="21.75" hidden="false" customHeight="true" outlineLevel="0" collapsed="false">
      <c r="A25" s="54" t="s">
        <v>363</v>
      </c>
      <c r="B25" s="54" t="s">
        <v>332</v>
      </c>
      <c r="C25" s="170" t="s">
        <v>364</v>
      </c>
      <c r="D25" s="170"/>
      <c r="E25" s="170"/>
      <c r="F25" s="170"/>
      <c r="G25" s="170"/>
    </row>
    <row r="26" customFormat="false" ht="21.75" hidden="false" customHeight="true" outlineLevel="0" collapsed="false">
      <c r="A26" s="20" t="s">
        <v>365</v>
      </c>
      <c r="B26" s="20" t="s">
        <v>366</v>
      </c>
      <c r="C26" s="171" t="s">
        <v>367</v>
      </c>
      <c r="D26" s="171"/>
      <c r="E26" s="171"/>
      <c r="F26" s="171"/>
      <c r="G26" s="171"/>
    </row>
    <row r="27" customFormat="false" ht="21.75" hidden="false" customHeight="true" outlineLevel="0" collapsed="false">
      <c r="A27" s="58" t="s">
        <v>368</v>
      </c>
      <c r="B27" s="58" t="s">
        <v>369</v>
      </c>
      <c r="C27" s="147" t="s">
        <v>370</v>
      </c>
      <c r="D27" s="147"/>
      <c r="E27" s="147"/>
      <c r="F27" s="147"/>
      <c r="G27" s="147"/>
    </row>
    <row r="28" customFormat="false" ht="21.75" hidden="false" customHeight="true" outlineLevel="0" collapsed="false">
      <c r="A28" s="59" t="s">
        <v>371</v>
      </c>
      <c r="B28" s="59" t="s">
        <v>372</v>
      </c>
      <c r="C28" s="172" t="s">
        <v>373</v>
      </c>
      <c r="D28" s="172"/>
      <c r="E28" s="172"/>
      <c r="F28" s="172"/>
      <c r="G28" s="172"/>
    </row>
    <row r="30" customFormat="false" ht="30" hidden="false" customHeight="true" outlineLevel="0" collapsed="false">
      <c r="A30" s="173" t="s">
        <v>374</v>
      </c>
      <c r="B30" s="173"/>
      <c r="C30" s="173"/>
      <c r="D30" s="173"/>
      <c r="E30" s="173"/>
      <c r="F30" s="173"/>
      <c r="G30" s="173"/>
    </row>
  </sheetData>
  <mergeCells count="11">
    <mergeCell ref="A1:G1"/>
    <mergeCell ref="A2:G2"/>
    <mergeCell ref="A4:G4"/>
    <mergeCell ref="A13:G13"/>
    <mergeCell ref="A23:G23"/>
    <mergeCell ref="C24:G24"/>
    <mergeCell ref="C25:G25"/>
    <mergeCell ref="C26:G26"/>
    <mergeCell ref="C27:G27"/>
    <mergeCell ref="C28:G28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74" t="s">
        <v>375</v>
      </c>
    </row>
    <row r="2" customFormat="false" ht="15" hidden="false" customHeight="false" outlineLevel="0" collapsed="false">
      <c r="A2" s="175" t="s">
        <v>376</v>
      </c>
    </row>
    <row r="3" customFormat="false" ht="15" hidden="false" customHeight="false" outlineLevel="0" collapsed="false">
      <c r="A3" s="176" t="s">
        <v>377</v>
      </c>
    </row>
    <row r="5" customFormat="false" ht="15" hidden="false" customHeight="false" outlineLevel="0" collapsed="false">
      <c r="A5" s="92" t="s">
        <v>378</v>
      </c>
    </row>
    <row r="6" customFormat="false" ht="15" hidden="false" customHeight="false" outlineLevel="0" collapsed="false">
      <c r="A6" s="0" t="s">
        <v>379</v>
      </c>
      <c r="B6" s="177" t="n">
        <v>400</v>
      </c>
      <c r="C6" s="0" t="s">
        <v>380</v>
      </c>
    </row>
    <row r="7" customFormat="false" ht="15" hidden="false" customHeight="false" outlineLevel="0" collapsed="false">
      <c r="A7" s="0" t="s">
        <v>381</v>
      </c>
      <c r="B7" s="178" t="n">
        <v>0.08</v>
      </c>
      <c r="C7" s="0" t="s">
        <v>382</v>
      </c>
    </row>
    <row r="9" customFormat="false" ht="26.85" hidden="false" customHeight="false" outlineLevel="0" collapsed="false">
      <c r="A9" s="179" t="s">
        <v>294</v>
      </c>
      <c r="B9" s="179" t="s">
        <v>383</v>
      </c>
      <c r="C9" s="179" t="s">
        <v>384</v>
      </c>
      <c r="D9" s="179" t="s">
        <v>385</v>
      </c>
      <c r="E9" s="179" t="s">
        <v>386</v>
      </c>
      <c r="F9" s="179" t="s">
        <v>387</v>
      </c>
      <c r="G9" s="179" t="s">
        <v>388</v>
      </c>
    </row>
    <row r="10" customFormat="false" ht="15" hidden="false" customHeight="false" outlineLevel="0" collapsed="false">
      <c r="A10" s="0" t="s">
        <v>389</v>
      </c>
      <c r="B10" s="180" t="n">
        <v>1</v>
      </c>
      <c r="C10" s="140" t="n">
        <f aca="false">B6*B10</f>
        <v>400</v>
      </c>
      <c r="D10" s="140" t="n">
        <v>0</v>
      </c>
      <c r="E10" s="140" t="n">
        <v>0</v>
      </c>
      <c r="F10" s="140" t="n">
        <f aca="false">B6-C10</f>
        <v>0</v>
      </c>
      <c r="G10" s="0" t="s">
        <v>390</v>
      </c>
    </row>
    <row r="11" customFormat="false" ht="15" hidden="false" customHeight="false" outlineLevel="0" collapsed="false">
      <c r="A11" s="0" t="s">
        <v>391</v>
      </c>
      <c r="B11" s="180" t="n">
        <v>0.5</v>
      </c>
      <c r="C11" s="140" t="n">
        <f aca="false">B6*B11</f>
        <v>200</v>
      </c>
      <c r="D11" s="140" t="n">
        <f aca="false">(B6-C11)*(1-B7)</f>
        <v>184</v>
      </c>
      <c r="E11" s="140" t="n">
        <f aca="false">(B6-C11)*B7</f>
        <v>16</v>
      </c>
      <c r="F11" s="140" t="n">
        <f aca="false">B6-C11</f>
        <v>200</v>
      </c>
      <c r="G11" s="0" t="s">
        <v>392</v>
      </c>
    </row>
    <row r="12" customFormat="false" ht="15" hidden="false" customHeight="false" outlineLevel="0" collapsed="false">
      <c r="A12" s="0" t="s">
        <v>393</v>
      </c>
      <c r="B12" s="180" t="n">
        <v>0</v>
      </c>
      <c r="C12" s="140" t="n">
        <f aca="false">B6*B12</f>
        <v>0</v>
      </c>
      <c r="D12" s="140" t="n">
        <f aca="false">B6*(1-B7)</f>
        <v>368</v>
      </c>
      <c r="E12" s="140" t="n">
        <f aca="false">B6*B7</f>
        <v>32</v>
      </c>
      <c r="F12" s="140" t="n">
        <f aca="false">B6-C12</f>
        <v>400</v>
      </c>
      <c r="G12" s="0" t="s">
        <v>394</v>
      </c>
    </row>
    <row r="13" customFormat="false" ht="15" hidden="false" customHeight="false" outlineLevel="0" collapsed="false">
      <c r="A13" s="0" t="s">
        <v>395</v>
      </c>
      <c r="B13" s="180" t="n">
        <v>0</v>
      </c>
      <c r="C13" s="140" t="n">
        <v>0</v>
      </c>
      <c r="D13" s="140" t="n">
        <f aca="false">B6*(1-B7)</f>
        <v>368</v>
      </c>
      <c r="E13" s="140" t="n">
        <f aca="false">B6*B7</f>
        <v>32</v>
      </c>
      <c r="F13" s="140" t="n">
        <v>0</v>
      </c>
      <c r="G13" s="0" t="s">
        <v>396</v>
      </c>
    </row>
    <row r="15" customFormat="false" ht="15" hidden="false" customHeight="false" outlineLevel="0" collapsed="false">
      <c r="A15" s="92" t="s">
        <v>397</v>
      </c>
    </row>
    <row r="16" customFormat="false" ht="15" hidden="false" customHeight="true" outlineLevel="0" collapsed="false">
      <c r="A16" s="181" t="s">
        <v>398</v>
      </c>
      <c r="B16" s="181"/>
      <c r="C16" s="181"/>
      <c r="D16" s="181"/>
      <c r="E16" s="181"/>
      <c r="F16" s="181"/>
      <c r="G16" s="181"/>
    </row>
    <row r="17" customFormat="false" ht="15" hidden="false" customHeight="true" outlineLevel="0" collapsed="false">
      <c r="A17" s="181" t="s">
        <v>399</v>
      </c>
      <c r="B17" s="181"/>
      <c r="C17" s="181"/>
      <c r="D17" s="181"/>
      <c r="E17" s="181"/>
      <c r="F17" s="181"/>
      <c r="G17" s="181"/>
    </row>
    <row r="18" customFormat="false" ht="15" hidden="false" customHeight="true" outlineLevel="0" collapsed="false">
      <c r="A18" s="181" t="s">
        <v>400</v>
      </c>
      <c r="B18" s="181"/>
      <c r="C18" s="181"/>
      <c r="D18" s="181"/>
      <c r="E18" s="181"/>
      <c r="F18" s="181"/>
      <c r="G18" s="181"/>
    </row>
    <row r="19" customFormat="false" ht="15" hidden="false" customHeight="true" outlineLevel="0" collapsed="false">
      <c r="A19" s="181" t="s">
        <v>401</v>
      </c>
      <c r="B19" s="181"/>
      <c r="C19" s="181"/>
      <c r="D19" s="181"/>
      <c r="E19" s="181"/>
      <c r="F19" s="181"/>
      <c r="G19" s="181"/>
    </row>
    <row r="20" customFormat="false" ht="23.85" hidden="false" customHeight="true" outlineLevel="0" collapsed="false">
      <c r="A20" s="181" t="s">
        <v>402</v>
      </c>
      <c r="B20" s="181"/>
      <c r="C20" s="181"/>
      <c r="D20" s="181"/>
      <c r="E20" s="181"/>
      <c r="F20" s="181"/>
      <c r="G20" s="181"/>
    </row>
  </sheetData>
  <mergeCells count="5"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74" t="s">
        <v>403</v>
      </c>
    </row>
    <row r="2" customFormat="false" ht="15" hidden="false" customHeight="false" outlineLevel="0" collapsed="false">
      <c r="A2" s="175" t="s">
        <v>404</v>
      </c>
    </row>
    <row r="4" customFormat="false" ht="15" hidden="false" customHeight="false" outlineLevel="0" collapsed="false">
      <c r="A4" s="92" t="s">
        <v>405</v>
      </c>
    </row>
    <row r="5" customFormat="false" ht="15" hidden="false" customHeight="false" outlineLevel="0" collapsed="false">
      <c r="A5" s="182" t="s">
        <v>406</v>
      </c>
      <c r="B5" s="182" t="s">
        <v>123</v>
      </c>
      <c r="C5" s="182" t="s">
        <v>407</v>
      </c>
    </row>
    <row r="6" customFormat="false" ht="15" hidden="false" customHeight="false" outlineLevel="0" collapsed="false">
      <c r="A6" s="183" t="s">
        <v>408</v>
      </c>
      <c r="B6" s="0" t="s">
        <v>409</v>
      </c>
      <c r="C6" s="184" t="s">
        <v>410</v>
      </c>
    </row>
    <row r="7" customFormat="false" ht="15" hidden="false" customHeight="false" outlineLevel="0" collapsed="false">
      <c r="A7" s="183" t="s">
        <v>411</v>
      </c>
      <c r="B7" s="0" t="s">
        <v>412</v>
      </c>
      <c r="C7" s="184" t="s">
        <v>413</v>
      </c>
    </row>
    <row r="8" customFormat="false" ht="15" hidden="false" customHeight="false" outlineLevel="0" collapsed="false">
      <c r="A8" s="183" t="s">
        <v>414</v>
      </c>
      <c r="B8" s="0" t="s">
        <v>415</v>
      </c>
      <c r="C8" s="184" t="s">
        <v>416</v>
      </c>
    </row>
    <row r="9" customFormat="false" ht="15" hidden="false" customHeight="false" outlineLevel="0" collapsed="false">
      <c r="A9" s="183" t="s">
        <v>417</v>
      </c>
      <c r="B9" s="0" t="s">
        <v>418</v>
      </c>
      <c r="C9" s="184" t="s">
        <v>419</v>
      </c>
    </row>
    <row r="10" customFormat="false" ht="15" hidden="false" customHeight="false" outlineLevel="0" collapsed="false">
      <c r="A10" s="183" t="s">
        <v>420</v>
      </c>
      <c r="B10" s="0" t="s">
        <v>421</v>
      </c>
      <c r="C10" s="184" t="s">
        <v>422</v>
      </c>
    </row>
    <row r="13" customFormat="false" ht="15" hidden="false" customHeight="false" outlineLevel="0" collapsed="false">
      <c r="A13" s="92" t="s">
        <v>423</v>
      </c>
    </row>
    <row r="14" customFormat="false" ht="15" hidden="false" customHeight="false" outlineLevel="0" collapsed="false">
      <c r="A14" s="182" t="s">
        <v>406</v>
      </c>
      <c r="B14" s="182" t="s">
        <v>123</v>
      </c>
      <c r="C14" s="182" t="s">
        <v>407</v>
      </c>
    </row>
    <row r="15" customFormat="false" ht="15" hidden="false" customHeight="false" outlineLevel="0" collapsed="false">
      <c r="A15" s="183" t="s">
        <v>424</v>
      </c>
      <c r="B15" s="0" t="s">
        <v>425</v>
      </c>
      <c r="C15" s="184" t="s">
        <v>426</v>
      </c>
    </row>
    <row r="16" customFormat="false" ht="15" hidden="false" customHeight="false" outlineLevel="0" collapsed="false">
      <c r="A16" s="183" t="s">
        <v>427</v>
      </c>
      <c r="B16" s="0" t="s">
        <v>428</v>
      </c>
      <c r="C16" s="184" t="s">
        <v>429</v>
      </c>
    </row>
    <row r="17" customFormat="false" ht="15" hidden="false" customHeight="false" outlineLevel="0" collapsed="false">
      <c r="A17" s="183" t="s">
        <v>430</v>
      </c>
      <c r="B17" s="0" t="s">
        <v>153</v>
      </c>
      <c r="C17" s="184" t="s">
        <v>431</v>
      </c>
    </row>
    <row r="18" customFormat="false" ht="15" hidden="false" customHeight="false" outlineLevel="0" collapsed="false">
      <c r="A18" s="183" t="s">
        <v>432</v>
      </c>
      <c r="B18" s="0" t="s">
        <v>156</v>
      </c>
      <c r="C18" s="184" t="s">
        <v>433</v>
      </c>
    </row>
    <row r="19" customFormat="false" ht="15" hidden="false" customHeight="false" outlineLevel="0" collapsed="false">
      <c r="A19" s="183" t="s">
        <v>434</v>
      </c>
      <c r="B19" s="0" t="s">
        <v>160</v>
      </c>
      <c r="C19" s="184" t="s">
        <v>435</v>
      </c>
    </row>
    <row r="20" customFormat="false" ht="15" hidden="false" customHeight="false" outlineLevel="0" collapsed="false">
      <c r="A20" s="183" t="s">
        <v>436</v>
      </c>
      <c r="B20" s="0" t="s">
        <v>158</v>
      </c>
      <c r="C20" s="184" t="s">
        <v>437</v>
      </c>
    </row>
    <row r="21" customFormat="false" ht="15" hidden="false" customHeight="false" outlineLevel="0" collapsed="false">
      <c r="A21" s="183" t="s">
        <v>438</v>
      </c>
      <c r="B21" s="0" t="s">
        <v>439</v>
      </c>
      <c r="C21" s="184" t="s">
        <v>440</v>
      </c>
    </row>
    <row r="22" customFormat="false" ht="15" hidden="false" customHeight="false" outlineLevel="0" collapsed="false">
      <c r="A22" s="183" t="s">
        <v>441</v>
      </c>
      <c r="B22" s="0" t="s">
        <v>442</v>
      </c>
      <c r="C22" s="184" t="s">
        <v>443</v>
      </c>
    </row>
    <row r="23" customFormat="false" ht="15" hidden="false" customHeight="false" outlineLevel="0" collapsed="false">
      <c r="A23" s="183" t="s">
        <v>444</v>
      </c>
      <c r="B23" s="0" t="s">
        <v>445</v>
      </c>
      <c r="C23" s="184" t="s">
        <v>446</v>
      </c>
    </row>
    <row r="24" customFormat="false" ht="15" hidden="false" customHeight="false" outlineLevel="0" collapsed="false">
      <c r="A24" s="183" t="s">
        <v>447</v>
      </c>
      <c r="B24" s="0" t="s">
        <v>448</v>
      </c>
      <c r="C24" s="184" t="s">
        <v>449</v>
      </c>
    </row>
    <row r="25" customFormat="false" ht="15" hidden="false" customHeight="false" outlineLevel="0" collapsed="false">
      <c r="A25" s="183" t="s">
        <v>450</v>
      </c>
      <c r="B25" s="0" t="s">
        <v>451</v>
      </c>
      <c r="C25" s="184" t="s">
        <v>452</v>
      </c>
    </row>
    <row r="26" customFormat="false" ht="15" hidden="false" customHeight="false" outlineLevel="0" collapsed="false">
      <c r="A26" s="183" t="s">
        <v>453</v>
      </c>
      <c r="B26" s="0" t="s">
        <v>454</v>
      </c>
      <c r="C26" s="184" t="s">
        <v>455</v>
      </c>
    </row>
    <row r="27" customFormat="false" ht="15" hidden="false" customHeight="false" outlineLevel="0" collapsed="false">
      <c r="A27" s="183" t="s">
        <v>456</v>
      </c>
      <c r="B27" s="0" t="s">
        <v>457</v>
      </c>
      <c r="C27" s="184" t="s">
        <v>458</v>
      </c>
    </row>
    <row r="28" customFormat="false" ht="15" hidden="false" customHeight="false" outlineLevel="0" collapsed="false">
      <c r="A28" s="183" t="s">
        <v>459</v>
      </c>
      <c r="B28" s="0" t="s">
        <v>460</v>
      </c>
      <c r="C28" s="184" t="s">
        <v>461</v>
      </c>
    </row>
    <row r="29" customFormat="false" ht="15" hidden="false" customHeight="false" outlineLevel="0" collapsed="false">
      <c r="A29" s="183" t="s">
        <v>462</v>
      </c>
      <c r="B29" s="0" t="s">
        <v>463</v>
      </c>
      <c r="C29" s="184" t="s">
        <v>461</v>
      </c>
    </row>
    <row r="30" customFormat="false" ht="15" hidden="false" customHeight="false" outlineLevel="0" collapsed="false">
      <c r="A30" s="183" t="s">
        <v>464</v>
      </c>
      <c r="B30" s="0" t="s">
        <v>465</v>
      </c>
      <c r="C30" s="184" t="s">
        <v>461</v>
      </c>
    </row>
    <row r="31" customFormat="false" ht="15" hidden="false" customHeight="false" outlineLevel="0" collapsed="false">
      <c r="A31" s="183" t="s">
        <v>466</v>
      </c>
      <c r="B31" s="0" t="s">
        <v>467</v>
      </c>
      <c r="C31" s="184" t="s">
        <v>468</v>
      </c>
    </row>
    <row r="32" customFormat="false" ht="15" hidden="false" customHeight="false" outlineLevel="0" collapsed="false">
      <c r="A32" s="183" t="s">
        <v>469</v>
      </c>
      <c r="B32" s="0" t="s">
        <v>470</v>
      </c>
      <c r="C32" s="184" t="s">
        <v>471</v>
      </c>
    </row>
    <row r="35" customFormat="false" ht="15" hidden="false" customHeight="false" outlineLevel="0" collapsed="false">
      <c r="A35" s="92" t="s">
        <v>472</v>
      </c>
    </row>
    <row r="36" customFormat="false" ht="15" hidden="false" customHeight="false" outlineLevel="0" collapsed="false">
      <c r="A36" s="182" t="s">
        <v>473</v>
      </c>
      <c r="B36" s="182" t="s">
        <v>474</v>
      </c>
      <c r="C36" s="182" t="s">
        <v>475</v>
      </c>
    </row>
    <row r="37" customFormat="false" ht="15" hidden="false" customHeight="false" outlineLevel="0" collapsed="false">
      <c r="A37" s="183" t="s">
        <v>476</v>
      </c>
      <c r="B37" s="0" t="s">
        <v>477</v>
      </c>
      <c r="C37" s="0" t="s">
        <v>478</v>
      </c>
    </row>
    <row r="38" customFormat="false" ht="15" hidden="false" customHeight="false" outlineLevel="0" collapsed="false">
      <c r="A38" s="183" t="s">
        <v>479</v>
      </c>
      <c r="B38" s="0" t="s">
        <v>480</v>
      </c>
      <c r="C38" s="0" t="s">
        <v>481</v>
      </c>
    </row>
    <row r="39" customFormat="false" ht="15" hidden="false" customHeight="false" outlineLevel="0" collapsed="false">
      <c r="A39" s="183" t="s">
        <v>482</v>
      </c>
      <c r="B39" s="0" t="s">
        <v>483</v>
      </c>
      <c r="C39" s="0" t="s">
        <v>484</v>
      </c>
    </row>
    <row r="40" customFormat="false" ht="15" hidden="false" customHeight="false" outlineLevel="0" collapsed="false">
      <c r="A40" s="183" t="s">
        <v>485</v>
      </c>
      <c r="B40" s="0" t="s">
        <v>486</v>
      </c>
      <c r="C40" s="0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74" t="s">
        <v>488</v>
      </c>
    </row>
    <row r="2" customFormat="false" ht="15" hidden="false" customHeight="false" outlineLevel="0" collapsed="false">
      <c r="A2" s="185" t="s">
        <v>489</v>
      </c>
    </row>
    <row r="3" customFormat="false" ht="15" hidden="false" customHeight="false" outlineLevel="0" collapsed="false">
      <c r="A3" s="176" t="s">
        <v>490</v>
      </c>
    </row>
    <row r="5" customFormat="false" ht="15" hidden="false" customHeight="false" outlineLevel="0" collapsed="false">
      <c r="A5" s="92" t="s">
        <v>491</v>
      </c>
    </row>
    <row r="6" customFormat="false" ht="15" hidden="false" customHeight="false" outlineLevel="0" collapsed="false">
      <c r="A6" s="182" t="s">
        <v>492</v>
      </c>
      <c r="B6" s="182" t="s">
        <v>493</v>
      </c>
      <c r="C6" s="182" t="s">
        <v>494</v>
      </c>
    </row>
    <row r="7" customFormat="false" ht="15" hidden="false" customHeight="false" outlineLevel="0" collapsed="false">
      <c r="A7" s="186" t="s">
        <v>495</v>
      </c>
      <c r="B7" s="187" t="s">
        <v>496</v>
      </c>
      <c r="C7" s="184" t="s">
        <v>497</v>
      </c>
    </row>
    <row r="8" customFormat="false" ht="15" hidden="false" customHeight="false" outlineLevel="0" collapsed="false">
      <c r="A8" s="186" t="s">
        <v>498</v>
      </c>
      <c r="B8" s="187" t="s">
        <v>499</v>
      </c>
      <c r="C8" s="184" t="s">
        <v>497</v>
      </c>
    </row>
    <row r="9" customFormat="false" ht="15" hidden="false" customHeight="false" outlineLevel="0" collapsed="false">
      <c r="A9" s="186" t="s">
        <v>500</v>
      </c>
      <c r="B9" s="187" t="s">
        <v>501</v>
      </c>
      <c r="C9" s="184" t="s">
        <v>502</v>
      </c>
    </row>
    <row r="10" customFormat="false" ht="15" hidden="false" customHeight="false" outlineLevel="0" collapsed="false">
      <c r="A10" s="186" t="s">
        <v>503</v>
      </c>
      <c r="B10" s="187" t="s">
        <v>504</v>
      </c>
      <c r="C10" s="184" t="s">
        <v>502</v>
      </c>
    </row>
    <row r="11" customFormat="false" ht="15" hidden="false" customHeight="false" outlineLevel="0" collapsed="false">
      <c r="A11" s="186" t="s">
        <v>505</v>
      </c>
      <c r="B11" s="187" t="s">
        <v>506</v>
      </c>
      <c r="C11" s="184" t="s">
        <v>507</v>
      </c>
    </row>
    <row r="12" customFormat="false" ht="15" hidden="false" customHeight="false" outlineLevel="0" collapsed="false">
      <c r="A12" s="186" t="s">
        <v>508</v>
      </c>
      <c r="B12" s="187" t="s">
        <v>509</v>
      </c>
      <c r="C12" s="184" t="s">
        <v>510</v>
      </c>
    </row>
    <row r="13" customFormat="false" ht="15" hidden="false" customHeight="false" outlineLevel="0" collapsed="false">
      <c r="A13" s="186" t="s">
        <v>511</v>
      </c>
      <c r="B13" s="187" t="s">
        <v>512</v>
      </c>
      <c r="C13" s="184" t="s">
        <v>513</v>
      </c>
    </row>
    <row r="14" customFormat="false" ht="15" hidden="false" customHeight="false" outlineLevel="0" collapsed="false">
      <c r="A14" s="186" t="s">
        <v>514</v>
      </c>
      <c r="B14" s="187" t="s">
        <v>515</v>
      </c>
      <c r="C14" s="184" t="s">
        <v>516</v>
      </c>
    </row>
    <row r="15" customFormat="false" ht="57.45" hidden="false" customHeight="false" outlineLevel="0" collapsed="false">
      <c r="A15" s="186" t="s">
        <v>517</v>
      </c>
      <c r="B15" s="187" t="s">
        <v>518</v>
      </c>
      <c r="C15" s="184" t="s">
        <v>519</v>
      </c>
    </row>
    <row r="16" customFormat="false" ht="15" hidden="false" customHeight="false" outlineLevel="0" collapsed="false">
      <c r="A16" s="186" t="s">
        <v>520</v>
      </c>
      <c r="B16" s="187" t="s">
        <v>521</v>
      </c>
      <c r="C16" s="184" t="s">
        <v>522</v>
      </c>
    </row>
    <row r="17" customFormat="false" ht="15" hidden="false" customHeight="false" outlineLevel="0" collapsed="false">
      <c r="A17" s="186" t="s">
        <v>523</v>
      </c>
      <c r="B17" s="187" t="s">
        <v>524</v>
      </c>
      <c r="C17" s="184" t="s">
        <v>522</v>
      </c>
    </row>
    <row r="18" customFormat="false" ht="15" hidden="false" customHeight="false" outlineLevel="0" collapsed="false">
      <c r="A18" s="186" t="s">
        <v>525</v>
      </c>
      <c r="B18" s="187" t="s">
        <v>526</v>
      </c>
      <c r="C18" s="184" t="s">
        <v>513</v>
      </c>
    </row>
    <row r="19" customFormat="false" ht="15" hidden="false" customHeight="false" outlineLevel="0" collapsed="false">
      <c r="A19" s="186" t="s">
        <v>527</v>
      </c>
      <c r="B19" s="187" t="s">
        <v>528</v>
      </c>
      <c r="C19" s="184" t="s">
        <v>529</v>
      </c>
    </row>
    <row r="20" customFormat="false" ht="15" hidden="false" customHeight="false" outlineLevel="0" collapsed="false">
      <c r="A20" s="186" t="s">
        <v>530</v>
      </c>
      <c r="B20" s="187" t="s">
        <v>531</v>
      </c>
      <c r="C20" s="184" t="s">
        <v>522</v>
      </c>
    </row>
    <row r="21" customFormat="false" ht="15" hidden="false" customHeight="false" outlineLevel="0" collapsed="false">
      <c r="A21" s="186" t="s">
        <v>532</v>
      </c>
      <c r="B21" s="187" t="s">
        <v>533</v>
      </c>
      <c r="C21" s="184" t="s">
        <v>534</v>
      </c>
    </row>
    <row r="22" customFormat="false" ht="15" hidden="false" customHeight="false" outlineLevel="0" collapsed="false">
      <c r="A22" s="186" t="s">
        <v>535</v>
      </c>
      <c r="B22" s="187" t="s">
        <v>536</v>
      </c>
      <c r="C22" s="184" t="s">
        <v>513</v>
      </c>
    </row>
    <row r="23" customFormat="false" ht="15" hidden="false" customHeight="false" outlineLevel="0" collapsed="false">
      <c r="A23" s="186" t="s">
        <v>537</v>
      </c>
      <c r="B23" s="187" t="s">
        <v>538</v>
      </c>
      <c r="C23" s="184" t="s">
        <v>539</v>
      </c>
    </row>
    <row r="26" customFormat="false" ht="15" hidden="false" customHeight="false" outlineLevel="0" collapsed="false">
      <c r="A26" s="92" t="s">
        <v>540</v>
      </c>
    </row>
    <row r="27" customFormat="false" ht="15" hidden="false" customHeight="false" outlineLevel="0" collapsed="false">
      <c r="A27" s="182" t="s">
        <v>541</v>
      </c>
      <c r="B27" s="182" t="s">
        <v>542</v>
      </c>
      <c r="C27" s="182" t="s">
        <v>46</v>
      </c>
    </row>
    <row r="28" customFormat="false" ht="15" hidden="false" customHeight="false" outlineLevel="0" collapsed="false">
      <c r="A28" s="0" t="s">
        <v>543</v>
      </c>
      <c r="B28" s="0" t="s">
        <v>544</v>
      </c>
      <c r="C28" s="184" t="s">
        <v>545</v>
      </c>
    </row>
    <row r="29" customFormat="false" ht="15" hidden="false" customHeight="false" outlineLevel="0" collapsed="false">
      <c r="A29" s="0" t="s">
        <v>546</v>
      </c>
      <c r="B29" s="0" t="s">
        <v>547</v>
      </c>
      <c r="C29" s="184" t="s">
        <v>548</v>
      </c>
    </row>
    <row r="30" customFormat="false" ht="15" hidden="false" customHeight="false" outlineLevel="0" collapsed="false">
      <c r="A30" s="0" t="s">
        <v>549</v>
      </c>
      <c r="B30" s="0" t="s">
        <v>550</v>
      </c>
      <c r="C30" s="184" t="s">
        <v>551</v>
      </c>
    </row>
    <row r="31" customFormat="false" ht="15" hidden="false" customHeight="false" outlineLevel="0" collapsed="false">
      <c r="A31" s="0" t="s">
        <v>552</v>
      </c>
      <c r="B31" s="0" t="s">
        <v>553</v>
      </c>
      <c r="C31" s="184" t="s">
        <v>513</v>
      </c>
    </row>
    <row r="32" customFormat="false" ht="15" hidden="false" customHeight="false" outlineLevel="0" collapsed="false">
      <c r="A32" s="0" t="s">
        <v>554</v>
      </c>
      <c r="B32" s="0" t="s">
        <v>555</v>
      </c>
      <c r="C32" s="184" t="s">
        <v>556</v>
      </c>
    </row>
    <row r="35" customFormat="false" ht="15" hidden="false" customHeight="false" outlineLevel="0" collapsed="false">
      <c r="A35" s="92" t="s">
        <v>557</v>
      </c>
    </row>
    <row r="36" customFormat="false" ht="15" hidden="false" customHeight="false" outlineLevel="0" collapsed="false">
      <c r="A36" s="182" t="s">
        <v>305</v>
      </c>
      <c r="B36" s="182" t="s">
        <v>558</v>
      </c>
      <c r="C36" s="182" t="s">
        <v>559</v>
      </c>
    </row>
    <row r="37" customFormat="false" ht="15" hidden="false" customHeight="false" outlineLevel="0" collapsed="false">
      <c r="A37" s="0" t="s">
        <v>560</v>
      </c>
      <c r="B37" s="0" t="s">
        <v>561</v>
      </c>
      <c r="C37" s="0" t="s">
        <v>562</v>
      </c>
    </row>
    <row r="38" customFormat="false" ht="15" hidden="false" customHeight="false" outlineLevel="0" collapsed="false">
      <c r="A38" s="0" t="s">
        <v>563</v>
      </c>
      <c r="B38" s="0" t="s">
        <v>564</v>
      </c>
      <c r="C38" s="0" t="s">
        <v>565</v>
      </c>
    </row>
    <row r="39" customFormat="false" ht="15" hidden="false" customHeight="false" outlineLevel="0" collapsed="false">
      <c r="A39" s="0" t="s">
        <v>566</v>
      </c>
      <c r="B39" s="0" t="s">
        <v>567</v>
      </c>
      <c r="C39" s="0" t="s">
        <v>562</v>
      </c>
    </row>
    <row r="40" customFormat="false" ht="15" hidden="false" customHeight="false" outlineLevel="0" collapsed="false">
      <c r="A40" s="0" t="s">
        <v>568</v>
      </c>
      <c r="B40" s="0" t="s">
        <v>569</v>
      </c>
      <c r="C40" s="0" t="s">
        <v>562</v>
      </c>
    </row>
    <row r="41" customFormat="false" ht="15" hidden="false" customHeight="false" outlineLevel="0" collapsed="false">
      <c r="A41" s="0" t="s">
        <v>570</v>
      </c>
      <c r="B41" s="0" t="s">
        <v>571</v>
      </c>
      <c r="C41" s="0" t="s">
        <v>522</v>
      </c>
    </row>
    <row r="42" customFormat="false" ht="15" hidden="false" customHeight="false" outlineLevel="0" collapsed="false">
      <c r="A42" s="0" t="s">
        <v>572</v>
      </c>
      <c r="B42" s="0" t="s">
        <v>573</v>
      </c>
      <c r="C42" s="0" t="s">
        <v>574</v>
      </c>
    </row>
    <row r="43" customFormat="false" ht="15" hidden="false" customHeight="false" outlineLevel="0" collapsed="false">
      <c r="A43" s="0" t="s">
        <v>575</v>
      </c>
      <c r="B43" s="0" t="s">
        <v>576</v>
      </c>
      <c r="C43" s="0" t="s">
        <v>574</v>
      </c>
    </row>
    <row r="44" customFormat="false" ht="15" hidden="false" customHeight="false" outlineLevel="0" collapsed="false">
      <c r="A44" s="0" t="s">
        <v>577</v>
      </c>
      <c r="B44" s="0" t="s">
        <v>578</v>
      </c>
      <c r="C44" s="0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74" t="s">
        <v>580</v>
      </c>
    </row>
    <row r="2" customFormat="false" ht="15" hidden="false" customHeight="false" outlineLevel="0" collapsed="false">
      <c r="A2" s="175" t="s">
        <v>581</v>
      </c>
    </row>
    <row r="4" customFormat="false" ht="15" hidden="false" customHeight="false" outlineLevel="0" collapsed="false">
      <c r="A4" s="182" t="s">
        <v>582</v>
      </c>
      <c r="B4" s="182" t="s">
        <v>583</v>
      </c>
      <c r="C4" s="182" t="s">
        <v>584</v>
      </c>
      <c r="D4" s="182" t="s">
        <v>46</v>
      </c>
    </row>
    <row r="5" customFormat="false" ht="15" hidden="false" customHeight="false" outlineLevel="0" collapsed="false">
      <c r="A5" s="0" t="s">
        <v>585</v>
      </c>
      <c r="B5" s="140" t="n">
        <v>890</v>
      </c>
      <c r="C5" s="140" t="n">
        <v>890</v>
      </c>
      <c r="D5" s="184" t="s">
        <v>586</v>
      </c>
    </row>
    <row r="6" customFormat="false" ht="15" hidden="false" customHeight="false" outlineLevel="0" collapsed="false">
      <c r="A6" s="0" t="s">
        <v>587</v>
      </c>
      <c r="B6" s="140" t="n">
        <v>0</v>
      </c>
      <c r="C6" s="140" t="n">
        <v>500</v>
      </c>
      <c r="D6" s="184" t="s">
        <v>588</v>
      </c>
    </row>
    <row r="7" customFormat="false" ht="15" hidden="false" customHeight="false" outlineLevel="0" collapsed="false">
      <c r="A7" s="0" t="s">
        <v>589</v>
      </c>
      <c r="B7" s="140" t="n">
        <v>0</v>
      </c>
      <c r="C7" s="140" t="n">
        <v>500</v>
      </c>
      <c r="D7" s="184" t="s">
        <v>590</v>
      </c>
    </row>
    <row r="8" customFormat="false" ht="15" hidden="false" customHeight="false" outlineLevel="0" collapsed="false">
      <c r="A8" s="0" t="s">
        <v>591</v>
      </c>
      <c r="B8" s="140" t="n">
        <v>20</v>
      </c>
      <c r="C8" s="140" t="n">
        <v>25</v>
      </c>
      <c r="D8" s="184" t="s">
        <v>592</v>
      </c>
    </row>
    <row r="9" customFormat="false" ht="15" hidden="false" customHeight="false" outlineLevel="0" collapsed="false">
      <c r="A9" s="0" t="s">
        <v>593</v>
      </c>
      <c r="B9" s="140" t="n">
        <v>0</v>
      </c>
      <c r="C9" s="140" t="n">
        <v>18</v>
      </c>
      <c r="D9" s="184" t="s">
        <v>594</v>
      </c>
    </row>
    <row r="10" customFormat="false" ht="15" hidden="false" customHeight="false" outlineLevel="0" collapsed="false">
      <c r="A10" s="0" t="s">
        <v>595</v>
      </c>
      <c r="B10" s="140" t="n">
        <v>0</v>
      </c>
      <c r="C10" s="140" t="n">
        <v>360</v>
      </c>
      <c r="D10" s="184" t="s">
        <v>596</v>
      </c>
    </row>
    <row r="11" customFormat="false" ht="15" hidden="false" customHeight="false" outlineLevel="0" collapsed="false">
      <c r="A11" s="0" t="s">
        <v>597</v>
      </c>
      <c r="B11" s="140" t="n">
        <v>0</v>
      </c>
      <c r="C11" s="140" t="n">
        <v>0</v>
      </c>
      <c r="D11" s="184" t="s">
        <v>513</v>
      </c>
    </row>
    <row r="12" customFormat="false" ht="15" hidden="false" customHeight="false" outlineLevel="0" collapsed="false">
      <c r="A12" s="0" t="s">
        <v>598</v>
      </c>
      <c r="B12" s="140" t="n">
        <v>0</v>
      </c>
      <c r="C12" s="140" t="n">
        <v>0</v>
      </c>
      <c r="D12" s="184" t="s">
        <v>599</v>
      </c>
    </row>
    <row r="13" customFormat="false" ht="15" hidden="false" customHeight="false" outlineLevel="0" collapsed="false">
      <c r="A13" s="0" t="s">
        <v>600</v>
      </c>
      <c r="B13" s="140" t="n">
        <v>0</v>
      </c>
      <c r="C13" s="140" t="n">
        <v>0</v>
      </c>
      <c r="D13" s="184" t="s">
        <v>601</v>
      </c>
    </row>
    <row r="14" customFormat="false" ht="15" hidden="false" customHeight="false" outlineLevel="0" collapsed="false">
      <c r="A14" s="0" t="s">
        <v>602</v>
      </c>
      <c r="B14" s="140" t="n">
        <v>0</v>
      </c>
      <c r="C14" s="140" t="n">
        <v>99</v>
      </c>
      <c r="D14" s="184" t="s">
        <v>603</v>
      </c>
    </row>
    <row r="15" customFormat="false" ht="15" hidden="false" customHeight="false" outlineLevel="0" collapsed="false">
      <c r="A15" s="0" t="s">
        <v>604</v>
      </c>
      <c r="B15" s="140" t="n">
        <v>0</v>
      </c>
      <c r="C15" s="140" t="n">
        <v>125</v>
      </c>
      <c r="D15" s="184" t="s">
        <v>605</v>
      </c>
    </row>
    <row r="16" customFormat="false" ht="15" hidden="false" customHeight="false" outlineLevel="0" collapsed="false">
      <c r="A16" s="0" t="s">
        <v>606</v>
      </c>
      <c r="B16" s="140" t="n">
        <v>30</v>
      </c>
      <c r="C16" s="140" t="n">
        <v>30</v>
      </c>
      <c r="D16" s="184" t="s">
        <v>607</v>
      </c>
    </row>
    <row r="17" customFormat="false" ht="15" hidden="false" customHeight="false" outlineLevel="0" collapsed="false">
      <c r="A17" s="188" t="s">
        <v>608</v>
      </c>
      <c r="B17" s="189" t="n">
        <f aca="false">SUM(B5:B16)</f>
        <v>940</v>
      </c>
      <c r="C17" s="189" t="n">
        <f aca="false">SUM(C5:C16)</f>
        <v>2547</v>
      </c>
      <c r="D17" s="0" t="s">
        <v>609</v>
      </c>
    </row>
    <row r="20" customFormat="false" ht="15" hidden="false" customHeight="false" outlineLevel="0" collapsed="false">
      <c r="A20" s="92" t="s">
        <v>610</v>
      </c>
    </row>
    <row r="21" customFormat="false" ht="15" hidden="false" customHeight="false" outlineLevel="0" collapsed="false">
      <c r="A21" s="0" t="s">
        <v>611</v>
      </c>
      <c r="B21" s="0" t="s">
        <v>612</v>
      </c>
    </row>
    <row r="22" customFormat="false" ht="15" hidden="false" customHeight="false" outlineLevel="0" collapsed="false">
      <c r="A22" s="0" t="s">
        <v>613</v>
      </c>
      <c r="B22" s="190" t="s">
        <v>614</v>
      </c>
    </row>
    <row r="23" customFormat="false" ht="15" hidden="false" customHeight="false" outlineLevel="0" collapsed="false">
      <c r="A23" s="0" t="s">
        <v>615</v>
      </c>
      <c r="B23" s="0" t="s">
        <v>616</v>
      </c>
    </row>
    <row r="24" customFormat="false" ht="15" hidden="false" customHeight="false" outlineLevel="0" collapsed="false">
      <c r="A24" s="185" t="s">
        <v>617</v>
      </c>
    </row>
    <row r="26" customFormat="false" ht="15" hidden="false" customHeight="false" outlineLevel="0" collapsed="false">
      <c r="A26" s="92" t="s">
        <v>618</v>
      </c>
    </row>
    <row r="27" customFormat="false" ht="15" hidden="false" customHeight="false" outlineLevel="0" collapsed="false">
      <c r="A27" s="0" t="s">
        <v>619</v>
      </c>
      <c r="B27" s="140" t="n">
        <v>500</v>
      </c>
      <c r="D27" s="0" t="s">
        <v>620</v>
      </c>
    </row>
    <row r="28" customFormat="false" ht="15" hidden="false" customHeight="false" outlineLevel="0" collapsed="false">
      <c r="A28" s="0" t="s">
        <v>621</v>
      </c>
      <c r="B28" s="140" t="n">
        <f aca="false">B27*12</f>
        <v>6000</v>
      </c>
    </row>
    <row r="29" customFormat="false" ht="15" hidden="false" customHeight="false" outlineLevel="0" collapsed="false">
      <c r="A29" s="0" t="s">
        <v>622</v>
      </c>
      <c r="B29" s="140" t="n">
        <f aca="false">B27*3</f>
        <v>1500</v>
      </c>
    </row>
    <row r="30" customFormat="false" ht="15" hidden="false" customHeight="false" outlineLevel="0" collapsed="false">
      <c r="A30" s="191" t="s">
        <v>623</v>
      </c>
    </row>
    <row r="31" customFormat="false" ht="15" hidden="false" customHeight="false" outlineLevel="0" collapsed="false">
      <c r="A31" s="192" t="s">
        <v>624</v>
      </c>
    </row>
    <row r="32" customFormat="false" ht="15" hidden="false" customHeight="false" outlineLevel="0" collapsed="false">
      <c r="A32" s="192" t="s">
        <v>625</v>
      </c>
    </row>
    <row r="33" customFormat="false" ht="15" hidden="false" customHeight="false" outlineLevel="0" collapsed="false">
      <c r="A33" s="192" t="s">
        <v>626</v>
      </c>
    </row>
    <row r="34" customFormat="false" ht="15" hidden="false" customHeight="false" outlineLevel="0" collapsed="false">
      <c r="A34" s="192" t="s">
        <v>627</v>
      </c>
    </row>
    <row r="35" customFormat="false" ht="15" hidden="false" customHeight="false" outlineLevel="0" collapsed="false">
      <c r="A35" s="192" t="s">
        <v>628</v>
      </c>
    </row>
    <row r="36" customFormat="false" ht="15" hidden="false" customHeight="false" outlineLevel="0" collapsed="false">
      <c r="A36" s="192" t="s">
        <v>629</v>
      </c>
    </row>
    <row r="37" customFormat="false" ht="15" hidden="false" customHeight="false" outlineLevel="0" collapsed="false">
      <c r="A37" s="192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2026-04-16T02:22:06Z</dcterms:created>
  <dc:creator>openpyxl</dc:creator>
  <dc:description/>
  <dc:language>en-US</dc:language>
  <cp:lastModifiedBy/>
  <dcterms:modified xsi:type="dcterms:W3CDTF">2026-04-30T17:09:26Z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