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Path to $50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Infrastructure" sheetId="3" state="visible" r:id="rId3"/>
    <sheet xmlns:r="http://schemas.openxmlformats.org/officeDocument/2006/relationships" name="Revenue Model" sheetId="4" state="visible" r:id="rId4"/>
    <sheet xmlns:r="http://schemas.openxmlformats.org/officeDocument/2006/relationships" name="Stripe Fees" sheetId="5" state="visible" r:id="rId5"/>
    <sheet xmlns:r="http://schemas.openxmlformats.org/officeDocument/2006/relationships" name="Tax Planning" sheetId="6" state="visible" r:id="rId6"/>
    <sheet xmlns:r="http://schemas.openxmlformats.org/officeDocument/2006/relationships" name="Creator Pro" sheetId="7" state="visible" r:id="rId7"/>
    <sheet xmlns:r="http://schemas.openxmlformats.org/officeDocument/2006/relationships" name="Processor Comparison" sheetId="8" state="visible" r:id="rId8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\$#,##0;&quot;($&quot;#,##0\);\-"/>
    <numFmt numFmtId="165" formatCode="0.0%;\-0.0%;\-"/>
    <numFmt numFmtId="166" formatCode="\$#,##0.00;&quot;($&quot;#,##0.00\);\-"/>
    <numFmt numFmtId="167" formatCode="#,##0.0;\-#,##0.0;\-"/>
    <numFmt numFmtId="168" formatCode="#,##0;\-#,##0;\-"/>
  </numFmts>
  <fonts count="3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6"/>
    </font>
    <font>
      <name val="Arial"/>
      <charset val="1"/>
      <family val="0"/>
      <b val="1"/>
      <color rgb="FFAAAAFF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i val="1"/>
      <color rgb="FF888888"/>
      <sz val="9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000000"/>
      <sz val="10"/>
    </font>
    <font>
      <name val="Arial"/>
      <charset val="1"/>
      <family val="0"/>
      <b val="1"/>
      <color rgb="FF1A6E3C"/>
      <sz val="10"/>
    </font>
    <font>
      <name val="Arial"/>
      <charset val="1"/>
      <family val="0"/>
      <b val="1"/>
      <color rgb="FFFFFFFF"/>
      <sz val="9"/>
    </font>
    <font>
      <name val="Arial"/>
      <charset val="1"/>
      <family val="0"/>
      <b val="1"/>
      <color rgb="FF000000"/>
      <sz val="9"/>
    </font>
    <font>
      <name val="Arial"/>
      <charset val="1"/>
      <family val="0"/>
      <b val="1"/>
      <color rgb="FF92400E"/>
      <sz val="10"/>
    </font>
    <font>
      <name val="Arial"/>
      <charset val="1"/>
      <family val="0"/>
      <b val="1"/>
      <color rgb="FFFFFFFF"/>
      <sz val="20"/>
    </font>
    <font>
      <name val="Arial"/>
      <charset val="1"/>
      <family val="0"/>
      <i val="1"/>
      <color rgb="FFAAAAAA"/>
      <sz val="10"/>
    </font>
    <font>
      <name val="Arial"/>
      <charset val="1"/>
      <family val="0"/>
      <b val="1"/>
      <color rgb="FF555555"/>
      <sz val="9"/>
    </font>
    <font>
      <name val="Arial"/>
      <charset val="1"/>
      <family val="0"/>
      <b val="1"/>
      <color rgb="FF000000"/>
      <sz val="16"/>
    </font>
    <font>
      <name val="Arial"/>
      <charset val="1"/>
      <family val="0"/>
      <i val="1"/>
      <color rgb="FFAAAAAA"/>
      <sz val="8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00"/>
      <sz val="9"/>
    </font>
    <font>
      <name val="Arial"/>
      <charset val="1"/>
      <family val="0"/>
      <b val="1"/>
      <color rgb="FF7C6AF7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color rgb="FFB45309"/>
      <sz val="10"/>
    </font>
    <font>
      <name val="Arial"/>
      <charset val="1"/>
      <family val="0"/>
      <i val="1"/>
      <color rgb="FF000000"/>
      <sz val="8"/>
    </font>
    <font>
      <name val="Arial"/>
      <charset val="1"/>
      <family val="0"/>
      <i val="1"/>
      <color rgb="FF000000"/>
      <sz val="9"/>
    </font>
    <font>
      <name val="Arial"/>
      <charset val="1"/>
      <family val="0"/>
      <color rgb="FF991B1B"/>
      <sz val="10"/>
    </font>
    <font>
      <name val="Arial"/>
      <charset val="1"/>
      <family val="0"/>
      <i val="1"/>
      <color rgb="FF991B1B"/>
      <sz val="9"/>
    </font>
    <font>
      <name val="Arial"/>
      <charset val="1"/>
      <family val="0"/>
      <i val="1"/>
      <color rgb="FF555555"/>
      <sz val="9"/>
    </font>
    <font>
      <name val="Arial"/>
      <charset val="1"/>
      <family val="0"/>
      <b val="1"/>
      <color rgb="FF991B1B"/>
      <sz val="10"/>
    </font>
    <font>
      <name val="Arial"/>
      <charset val="1"/>
      <family val="0"/>
      <i val="1"/>
      <color rgb="FF1A6E3C"/>
      <sz val="9"/>
    </font>
    <font>
      <name val="Arial"/>
      <charset val="1"/>
      <family val="0"/>
      <b val="1"/>
      <color rgb="FFFFFFFF"/>
      <sz val="13"/>
    </font>
    <font>
      <name val="Arial"/>
      <charset val="1"/>
      <family val="0"/>
      <color rgb="FF1A6E3C"/>
      <sz val="10"/>
    </font>
    <font>
      <name val="Arial"/>
      <i val="1"/>
      <color rgb="00888888"/>
      <sz val="9"/>
    </font>
    <font>
      <name val="Arial"/>
      <i val="1"/>
      <color rgb="00991b1b"/>
      <sz val="9"/>
    </font>
    <font>
      <name val="Arial"/>
      <color rgb="00000000"/>
      <sz val="9"/>
    </font>
  </fonts>
  <fills count="18">
    <fill>
      <patternFill/>
    </fill>
    <fill>
      <patternFill patternType="gray125"/>
    </fill>
    <fill>
      <patternFill patternType="solid">
        <fgColor rgb="FF1E2A4A"/>
        <bgColor rgb="FF2D3561"/>
      </patternFill>
    </fill>
    <fill>
      <patternFill patternType="solid">
        <fgColor rgb="FF2D3561"/>
        <bgColor rgb="FF1E2A4A"/>
      </patternFill>
    </fill>
    <fill>
      <patternFill patternType="solid">
        <fgColor rgb="FF7C6AF7"/>
        <bgColor rgb="FF888888"/>
      </patternFill>
    </fill>
    <fill>
      <patternFill patternType="solid">
        <fgColor rgb="FFF8F8F8"/>
        <bgColor rgb="FFFFFBEB"/>
      </patternFill>
    </fill>
    <fill>
      <patternFill patternType="solid">
        <fgColor rgb="FFFFFFFF"/>
        <bgColor rgb="FFF8F8F8"/>
      </patternFill>
    </fill>
    <fill>
      <patternFill patternType="solid">
        <fgColor rgb="FF1A6E3C"/>
        <bgColor rgb="FF008080"/>
      </patternFill>
    </fill>
    <fill>
      <patternFill patternType="solid">
        <fgColor rgb="FFE6F4EC"/>
        <bgColor rgb="FFE8E8E8"/>
      </patternFill>
    </fill>
    <fill>
      <patternFill patternType="solid">
        <fgColor rgb="FFFDE8E8"/>
        <bgColor rgb="FFFFF4E6"/>
      </patternFill>
    </fill>
    <fill>
      <patternFill patternType="solid">
        <fgColor rgb="FFFFFBEB"/>
        <bgColor rgb="FFFFF9E6"/>
      </patternFill>
    </fill>
    <fill>
      <patternFill patternType="solid">
        <fgColor rgb="FFFFF4E6"/>
        <bgColor rgb="FFFFF9E6"/>
      </patternFill>
    </fill>
    <fill>
      <patternFill patternType="solid">
        <fgColor rgb="FFEDE9FE"/>
        <bgColor rgb="FFE8E8E8"/>
      </patternFill>
    </fill>
    <fill>
      <patternFill patternType="solid">
        <fgColor rgb="FFE8E8E8"/>
        <bgColor rgb="FFEDE9FE"/>
      </patternFill>
    </fill>
    <fill>
      <patternFill patternType="solid">
        <fgColor rgb="FFB45309"/>
        <bgColor rgb="FF92400E"/>
      </patternFill>
    </fill>
    <fill>
      <patternFill patternType="solid">
        <fgColor rgb="FF991B1B"/>
        <bgColor rgb="FF800000"/>
      </patternFill>
    </fill>
    <fill>
      <patternFill patternType="solid">
        <fgColor rgb="FFFFF9E6"/>
        <bgColor rgb="FFFFFBEB"/>
      </patternFill>
    </fill>
    <fill>
      <patternFill patternType="solid">
        <fgColor rgb="00fde8e8"/>
      </patternFill>
    </fill>
  </fills>
  <borders count="8">
    <border>
      <left/>
      <right/>
      <top/>
      <bottom/>
      <diagonal/>
    </border>
    <border>
      <left style="thin"/>
      <right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48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/>
    </xf>
    <xf numFmtId="0" fontId="5" fillId="3" borderId="0" applyAlignment="1" pivotButton="0" quotePrefix="0" xfId="0">
      <alignment horizontal="left" vertical="center"/>
    </xf>
    <xf numFmtId="0" fontId="6" fillId="4" borderId="0" applyAlignment="1" pivotButton="0" quotePrefix="0" xfId="0">
      <alignment horizontal="left" vertical="center"/>
    </xf>
    <xf numFmtId="0" fontId="7" fillId="0" borderId="1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left" vertical="center"/>
    </xf>
    <xf numFmtId="164" fontId="9" fillId="6" borderId="2" applyAlignment="1" pivotButton="0" quotePrefix="0" xfId="0">
      <alignment horizontal="right" vertical="center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167" fontId="9" fillId="6" borderId="2" applyAlignment="1" pivotButton="0" quotePrefix="0" xfId="0">
      <alignment horizontal="right" vertical="center"/>
    </xf>
    <xf numFmtId="0" fontId="6" fillId="7" borderId="0" applyAlignment="1" pivotButton="0" quotePrefix="0" xfId="0">
      <alignment horizontal="left" vertical="center"/>
    </xf>
    <xf numFmtId="0" fontId="8" fillId="8" borderId="2" applyAlignment="1" pivotButton="0" quotePrefix="0" xfId="0">
      <alignment horizontal="left" vertical="center"/>
    </xf>
    <xf numFmtId="164" fontId="8" fillId="8" borderId="2" applyAlignment="1" pivotButton="0" quotePrefix="0" xfId="0">
      <alignment horizontal="right" vertical="center"/>
    </xf>
    <xf numFmtId="0" fontId="0" fillId="8" borderId="2" applyAlignment="1" pivotButton="0" quotePrefix="0" xfId="0">
      <alignment horizontal="general" vertical="bottom"/>
    </xf>
    <xf numFmtId="0" fontId="8" fillId="9" borderId="2" applyAlignment="1" pivotButton="0" quotePrefix="0" xfId="0">
      <alignment horizontal="left" vertical="center"/>
    </xf>
    <xf numFmtId="166" fontId="8" fillId="9" borderId="2" applyAlignment="1" pivotButton="0" quotePrefix="0" xfId="0">
      <alignment horizontal="right" vertical="center"/>
    </xf>
    <xf numFmtId="0" fontId="0" fillId="9" borderId="2" applyAlignment="1" pivotButton="0" quotePrefix="0" xfId="0">
      <alignment horizontal="general" vertical="bottom"/>
    </xf>
    <xf numFmtId="164" fontId="8" fillId="5" borderId="2" applyAlignment="1" pivotButton="0" quotePrefix="0" xfId="0">
      <alignment horizontal="right" vertical="center"/>
    </xf>
    <xf numFmtId="0" fontId="0" fillId="5" borderId="2" applyAlignment="1" pivotButton="0" quotePrefix="0" xfId="0">
      <alignment horizontal="general" vertical="bottom"/>
    </xf>
    <xf numFmtId="0" fontId="10" fillId="10" borderId="2" applyAlignment="1" pivotButton="0" quotePrefix="0" xfId="0">
      <alignment horizontal="left" vertical="center"/>
    </xf>
    <xf numFmtId="164" fontId="11" fillId="10" borderId="2" applyAlignment="1" pivotButton="0" quotePrefix="0" xfId="0">
      <alignment horizontal="right" vertical="center"/>
    </xf>
    <xf numFmtId="0" fontId="0" fillId="10" borderId="2" applyAlignment="1" pivotButton="0" quotePrefix="0" xfId="0">
      <alignment horizontal="general" vertical="bottom"/>
    </xf>
    <xf numFmtId="0" fontId="6" fillId="2" borderId="0" applyAlignment="1" pivotButton="0" quotePrefix="0" xfId="0">
      <alignment horizontal="left" vertical="center"/>
    </xf>
    <xf numFmtId="0" fontId="12" fillId="2" borderId="2" applyAlignment="1" pivotButton="0" quotePrefix="0" xfId="0">
      <alignment horizontal="center" vertical="center"/>
    </xf>
    <xf numFmtId="0" fontId="13" fillId="9" borderId="2" applyAlignment="1" pivotButton="0" quotePrefix="0" xfId="0">
      <alignment horizontal="left" vertical="center" wrapText="1"/>
    </xf>
    <xf numFmtId="168" fontId="9" fillId="9" borderId="2" applyAlignment="1" pivotButton="0" quotePrefix="0" xfId="0">
      <alignment horizontal="right" vertical="center"/>
    </xf>
    <xf numFmtId="167" fontId="8" fillId="9" borderId="2" applyAlignment="1" pivotButton="0" quotePrefix="0" xfId="0">
      <alignment horizontal="right" vertical="center"/>
    </xf>
    <xf numFmtId="164" fontId="8" fillId="9" borderId="2" applyAlignment="1" pivotButton="0" quotePrefix="0" xfId="0">
      <alignment horizontal="right" vertical="center"/>
    </xf>
    <xf numFmtId="164" fontId="11" fillId="9" borderId="2" applyAlignment="1" pivotButton="0" quotePrefix="0" xfId="0">
      <alignment horizontal="right" vertical="center"/>
    </xf>
    <xf numFmtId="0" fontId="13" fillId="11" borderId="2" applyAlignment="1" pivotButton="0" quotePrefix="0" xfId="0">
      <alignment horizontal="left" vertical="center" wrapText="1"/>
    </xf>
    <xf numFmtId="168" fontId="9" fillId="11" borderId="2" applyAlignment="1" pivotButton="0" quotePrefix="0" xfId="0">
      <alignment horizontal="right" vertical="center"/>
    </xf>
    <xf numFmtId="167" fontId="8" fillId="11" borderId="2" applyAlignment="1" pivotButton="0" quotePrefix="0" xfId="0">
      <alignment horizontal="right" vertical="center"/>
    </xf>
    <xf numFmtId="164" fontId="8" fillId="11" borderId="2" applyAlignment="1" pivotButton="0" quotePrefix="0" xfId="0">
      <alignment horizontal="right" vertical="center"/>
    </xf>
    <xf numFmtId="164" fontId="11" fillId="11" borderId="2" applyAlignment="1" pivotButton="0" quotePrefix="0" xfId="0">
      <alignment horizontal="right" vertical="center"/>
    </xf>
    <xf numFmtId="0" fontId="13" fillId="10" borderId="2" applyAlignment="1" pivotButton="0" quotePrefix="0" xfId="0">
      <alignment horizontal="left" vertical="center" wrapText="1"/>
    </xf>
    <xf numFmtId="168" fontId="9" fillId="10" borderId="2" applyAlignment="1" pivotButton="0" quotePrefix="0" xfId="0">
      <alignment horizontal="right" vertical="center"/>
    </xf>
    <xf numFmtId="167" fontId="8" fillId="10" borderId="2" applyAlignment="1" pivotButton="0" quotePrefix="0" xfId="0">
      <alignment horizontal="right" vertical="center"/>
    </xf>
    <xf numFmtId="164" fontId="8" fillId="10" borderId="2" applyAlignment="1" pivotButton="0" quotePrefix="0" xfId="0">
      <alignment horizontal="right" vertical="center"/>
    </xf>
    <xf numFmtId="0" fontId="13" fillId="8" borderId="2" applyAlignment="1" pivotButton="0" quotePrefix="0" xfId="0">
      <alignment horizontal="left" vertical="center" wrapText="1"/>
    </xf>
    <xf numFmtId="168" fontId="9" fillId="8" borderId="2" applyAlignment="1" pivotButton="0" quotePrefix="0" xfId="0">
      <alignment horizontal="right" vertical="center"/>
    </xf>
    <xf numFmtId="167" fontId="8" fillId="8" borderId="2" applyAlignment="1" pivotButton="0" quotePrefix="0" xfId="0">
      <alignment horizontal="right" vertical="center"/>
    </xf>
    <xf numFmtId="164" fontId="11" fillId="8" borderId="2" applyAlignment="1" pivotButton="0" quotePrefix="0" xfId="0">
      <alignment horizontal="right" vertical="center"/>
    </xf>
    <xf numFmtId="0" fontId="14" fillId="10" borderId="2" applyAlignment="1" pivotButton="0" quotePrefix="0" xfId="0">
      <alignment horizontal="left" vertical="center"/>
    </xf>
    <xf numFmtId="164" fontId="14" fillId="10" borderId="2" applyAlignment="1" pivotButton="0" quotePrefix="0" xfId="0">
      <alignment horizontal="right" vertical="center"/>
    </xf>
    <xf numFmtId="0" fontId="12" fillId="4" borderId="2" applyAlignment="1" pivotButton="0" quotePrefix="0" xfId="0">
      <alignment horizontal="center" vertical="center"/>
    </xf>
    <xf numFmtId="0" fontId="8" fillId="6" borderId="2" applyAlignment="1" pivotButton="0" quotePrefix="0" xfId="0">
      <alignment horizontal="left" vertical="center"/>
    </xf>
    <xf numFmtId="168" fontId="8" fillId="6" borderId="2" applyAlignment="1" pivotButton="0" quotePrefix="0" xfId="0">
      <alignment horizontal="right" vertical="center"/>
    </xf>
    <xf numFmtId="168" fontId="8" fillId="5" borderId="2" applyAlignment="1" pivotButton="0" quotePrefix="0" xfId="0">
      <alignment horizontal="right" vertical="center"/>
    </xf>
    <xf numFmtId="0" fontId="10" fillId="5" borderId="2" applyAlignment="1" pivotButton="0" quotePrefix="0" xfId="0">
      <alignment horizontal="left" vertical="center"/>
    </xf>
    <xf numFmtId="168" fontId="11" fillId="5" borderId="2" applyAlignment="1" pivotButton="0" quotePrefix="0" xfId="0">
      <alignment horizontal="right" vertical="center"/>
    </xf>
    <xf numFmtId="0" fontId="10" fillId="6" borderId="2" applyAlignment="1" pivotButton="0" quotePrefix="0" xfId="0">
      <alignment horizontal="left" vertical="center"/>
    </xf>
    <xf numFmtId="168" fontId="11" fillId="6" borderId="2" applyAlignment="1" pivotButton="0" quotePrefix="0" xfId="0">
      <alignment horizontal="right" vertical="center"/>
    </xf>
    <xf numFmtId="0" fontId="12" fillId="7" borderId="2" applyAlignment="1" pivotButton="0" quotePrefix="0" xfId="0">
      <alignment horizontal="center" vertical="center"/>
    </xf>
    <xf numFmtId="0" fontId="10" fillId="9" borderId="2" applyAlignment="1" pivotButton="0" quotePrefix="0" xfId="0">
      <alignment horizontal="left" vertical="center"/>
    </xf>
    <xf numFmtId="0" fontId="10" fillId="11" borderId="2" applyAlignment="1" pivotButton="0" quotePrefix="0" xfId="0">
      <alignment horizontal="left" vertical="center"/>
    </xf>
    <xf numFmtId="0" fontId="8" fillId="11" borderId="2" applyAlignment="1" pivotButton="0" quotePrefix="0" xfId="0">
      <alignment horizontal="left" vertical="center"/>
    </xf>
    <xf numFmtId="0" fontId="8" fillId="10" borderId="2" applyAlignment="1" pivotButton="0" quotePrefix="0" xfId="0">
      <alignment horizontal="left" vertical="center"/>
    </xf>
    <xf numFmtId="0" fontId="10" fillId="8" borderId="2" applyAlignment="1" pivotButton="0" quotePrefix="0" xfId="0">
      <alignment horizontal="left" vertical="center"/>
    </xf>
    <xf numFmtId="0" fontId="10" fillId="12" borderId="2" applyAlignment="1" pivotButton="0" quotePrefix="0" xfId="0">
      <alignment horizontal="left" vertical="center"/>
    </xf>
    <xf numFmtId="0" fontId="8" fillId="12" borderId="2" applyAlignment="1" pivotButton="0" quotePrefix="0" xfId="0">
      <alignment horizontal="left" vertical="center"/>
    </xf>
    <xf numFmtId="168" fontId="9" fillId="12" borderId="2" applyAlignment="1" pivotButton="0" quotePrefix="0" xfId="0">
      <alignment horizontal="right" vertical="center"/>
    </xf>
    <xf numFmtId="167" fontId="8" fillId="12" borderId="2" applyAlignment="1" pivotButton="0" quotePrefix="0" xfId="0">
      <alignment horizontal="right" vertical="center"/>
    </xf>
    <xf numFmtId="164" fontId="11" fillId="12" borderId="2" applyAlignment="1" pivotButton="0" quotePrefix="0" xfId="0">
      <alignment horizontal="right" vertical="center"/>
    </xf>
    <xf numFmtId="164" fontId="8" fillId="12" borderId="2" applyAlignment="1" pivotButton="0" quotePrefix="0" xfId="0">
      <alignment horizontal="right" vertical="center"/>
    </xf>
    <xf numFmtId="0" fontId="14" fillId="10" borderId="2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15" fillId="2" borderId="0" applyAlignment="1" pivotButton="0" quotePrefix="0" xfId="0">
      <alignment horizontal="left" vertical="center"/>
    </xf>
    <xf numFmtId="0" fontId="16" fillId="2" borderId="0" applyAlignment="1" pivotButton="0" quotePrefix="0" xfId="0">
      <alignment horizontal="left" vertical="center"/>
    </xf>
    <xf numFmtId="0" fontId="17" fillId="13" borderId="2" applyAlignment="1" pivotButton="0" quotePrefix="0" xfId="0">
      <alignment horizontal="center" vertical="center"/>
    </xf>
    <xf numFmtId="0" fontId="0" fillId="6" borderId="0" applyAlignment="1" pivotButton="0" quotePrefix="0" xfId="0">
      <alignment horizontal="general" vertical="bottom"/>
    </xf>
    <xf numFmtId="166" fontId="18" fillId="5" borderId="2" applyAlignment="1" pivotButton="0" quotePrefix="0" xfId="0">
      <alignment horizontal="center" vertical="center"/>
    </xf>
    <xf numFmtId="164" fontId="18" fillId="9" borderId="2" applyAlignment="1" pivotButton="0" quotePrefix="0" xfId="0">
      <alignment horizontal="center" vertical="center"/>
    </xf>
    <xf numFmtId="166" fontId="18" fillId="11" borderId="2" applyAlignment="1" pivotButton="0" quotePrefix="0" xfId="0">
      <alignment horizontal="center" vertical="center"/>
    </xf>
    <xf numFmtId="165" fontId="18" fillId="12" borderId="2" applyAlignment="1" pivotButton="0" quotePrefix="0" xfId="0">
      <alignment horizontal="center" vertical="center"/>
    </xf>
    <xf numFmtId="168" fontId="18" fillId="8" borderId="2" applyAlignment="1" pivotButton="0" quotePrefix="0" xfId="0">
      <alignment horizontal="center" vertical="center"/>
    </xf>
    <xf numFmtId="0" fontId="19" fillId="5" borderId="0" applyAlignment="1" pivotButton="0" quotePrefix="0" xfId="0">
      <alignment horizontal="center" vertical="center"/>
    </xf>
    <xf numFmtId="0" fontId="19" fillId="9" borderId="0" applyAlignment="1" pivotButton="0" quotePrefix="0" xfId="0">
      <alignment horizontal="center" vertical="center"/>
    </xf>
    <xf numFmtId="0" fontId="19" fillId="11" borderId="0" applyAlignment="1" pivotButton="0" quotePrefix="0" xfId="0">
      <alignment horizontal="center" vertical="center"/>
    </xf>
    <xf numFmtId="0" fontId="19" fillId="12" borderId="0" applyAlignment="1" pivotButton="0" quotePrefix="0" xfId="0">
      <alignment horizontal="center" vertical="center"/>
    </xf>
    <xf numFmtId="0" fontId="19" fillId="8" borderId="0" applyAlignment="1" pivotButton="0" quotePrefix="0" xfId="0">
      <alignment horizontal="center" vertical="center"/>
    </xf>
    <xf numFmtId="0" fontId="20" fillId="4" borderId="0" applyAlignment="1" pivotButton="0" quotePrefix="0" xfId="0">
      <alignment horizontal="left" vertical="center"/>
    </xf>
    <xf numFmtId="0" fontId="6" fillId="2" borderId="2" applyAlignment="1" pivotButton="0" quotePrefix="0" xfId="0">
      <alignment horizontal="center" vertical="center"/>
    </xf>
    <xf numFmtId="0" fontId="21" fillId="8" borderId="2" applyAlignment="1" pivotButton="0" quotePrefix="0" xfId="0">
      <alignment horizontal="left" vertical="center" wrapText="1"/>
    </xf>
    <xf numFmtId="0" fontId="21" fillId="8" borderId="2" applyAlignment="1" pivotButton="0" quotePrefix="0" xfId="0">
      <alignment horizontal="center" vertical="center" wrapText="1"/>
    </xf>
    <xf numFmtId="0" fontId="21" fillId="11" borderId="2" applyAlignment="1" pivotButton="0" quotePrefix="0" xfId="0">
      <alignment horizontal="left" vertical="center" wrapText="1"/>
    </xf>
    <xf numFmtId="0" fontId="21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left" vertical="center" wrapText="1"/>
    </xf>
    <xf numFmtId="0" fontId="21" fillId="12" borderId="2" applyAlignment="1" pivotButton="0" quotePrefix="0" xfId="0">
      <alignment horizontal="center" vertical="center" wrapText="1"/>
    </xf>
    <xf numFmtId="0" fontId="20" fillId="2" borderId="0" applyAlignment="1" pivotButton="0" quotePrefix="0" xfId="0">
      <alignment horizontal="left" vertical="center"/>
    </xf>
    <xf numFmtId="0" fontId="6" fillId="2" borderId="2" applyAlignment="1" pivotButton="0" quotePrefix="0" xfId="0">
      <alignment horizontal="left" vertical="center"/>
    </xf>
    <xf numFmtId="0" fontId="22" fillId="5" borderId="2" applyAlignment="1" pivotButton="0" quotePrefix="0" xfId="0">
      <alignment horizontal="left" vertical="center"/>
    </xf>
    <xf numFmtId="0" fontId="21" fillId="5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7" fillId="5" borderId="0" applyAlignment="1" pivotButton="0" quotePrefix="0" xfId="0">
      <alignment horizontal="left" vertical="center"/>
    </xf>
    <xf numFmtId="0" fontId="20" fillId="7" borderId="0" applyAlignment="1" pivotButton="0" quotePrefix="0" xfId="0">
      <alignment horizontal="left" vertical="center"/>
    </xf>
    <xf numFmtId="166" fontId="9" fillId="0" borderId="2" applyAlignment="1" pivotButton="0" quotePrefix="0" xfId="0">
      <alignment horizontal="right" vertical="center"/>
    </xf>
    <xf numFmtId="166" fontId="8" fillId="0" borderId="2" applyAlignment="1" pivotButton="0" quotePrefix="0" xfId="0">
      <alignment horizontal="right" vertical="center"/>
    </xf>
    <xf numFmtId="0" fontId="7" fillId="0" borderId="2" applyAlignment="1" pivotButton="0" quotePrefix="0" xfId="0">
      <alignment horizontal="left" vertical="center" wrapText="1"/>
    </xf>
    <xf numFmtId="166" fontId="11" fillId="8" borderId="2" applyAlignment="1" pivotButton="0" quotePrefix="0" xfId="0">
      <alignment horizontal="right" vertical="center"/>
    </xf>
    <xf numFmtId="0" fontId="20" fillId="14" borderId="0" applyAlignment="1" pivotButton="0" quotePrefix="0" xfId="0">
      <alignment horizontal="left" vertical="center"/>
    </xf>
    <xf numFmtId="166" fontId="24" fillId="11" borderId="2" applyAlignment="1" pivotButton="0" quotePrefix="0" xfId="0">
      <alignment horizontal="right" vertical="center"/>
    </xf>
    <xf numFmtId="166" fontId="25" fillId="0" borderId="0" applyAlignment="1" pivotButton="0" quotePrefix="0" xfId="0">
      <alignment horizontal="general" vertical="bottom"/>
    </xf>
    <xf numFmtId="166" fontId="22" fillId="12" borderId="2" applyAlignment="1" pivotButton="0" quotePrefix="0" xfId="0">
      <alignment horizontal="right" vertical="center"/>
    </xf>
    <xf numFmtId="164" fontId="9" fillId="0" borderId="2" applyAlignment="1" pivotButton="0" quotePrefix="0" xfId="0">
      <alignment horizontal="right" vertical="center"/>
    </xf>
    <xf numFmtId="0" fontId="0" fillId="0" borderId="2" applyAlignment="1" pivotButton="0" quotePrefix="0" xfId="0">
      <alignment horizontal="general" vertical="bottom"/>
    </xf>
    <xf numFmtId="165" fontId="9" fillId="0" borderId="2" applyAlignment="1" pivotButton="0" quotePrefix="0" xfId="0">
      <alignment horizontal="right" vertical="center"/>
    </xf>
    <xf numFmtId="168" fontId="9" fillId="0" borderId="2" applyAlignment="1" pivotButton="0" quotePrefix="0" xfId="0">
      <alignment horizontal="right" vertical="center"/>
    </xf>
    <xf numFmtId="167" fontId="9" fillId="0" borderId="2" applyAlignment="1" pivotButton="0" quotePrefix="0" xfId="0">
      <alignment horizontal="right" vertical="center"/>
    </xf>
    <xf numFmtId="0" fontId="10" fillId="5" borderId="2" applyAlignment="1" pivotButton="0" quotePrefix="0" xfId="0">
      <alignment horizontal="center" vertical="center"/>
    </xf>
    <xf numFmtId="168" fontId="8" fillId="5" borderId="2" applyAlignment="1" pivotButton="0" quotePrefix="0" xfId="0">
      <alignment horizontal="right" vertical="center"/>
    </xf>
    <xf numFmtId="167" fontId="8" fillId="5" borderId="2" applyAlignment="1" pivotButton="0" quotePrefix="0" xfId="0">
      <alignment horizontal="right" vertical="center"/>
    </xf>
    <xf numFmtId="164" fontId="8" fillId="5" borderId="2" applyAlignment="1" pivotButton="0" quotePrefix="0" xfId="0">
      <alignment horizontal="right" vertical="center"/>
    </xf>
    <xf numFmtId="166" fontId="8" fillId="5" borderId="2" applyAlignment="1" pivotButton="0" quotePrefix="0" xfId="0">
      <alignment horizontal="right" vertical="center"/>
    </xf>
    <xf numFmtId="164" fontId="11" fillId="5" borderId="2" applyAlignment="1" pivotButton="0" quotePrefix="0" xfId="0">
      <alignment horizontal="right" vertical="center"/>
    </xf>
    <xf numFmtId="0" fontId="10" fillId="6" borderId="2" applyAlignment="1" pivotButton="0" quotePrefix="0" xfId="0">
      <alignment horizontal="center" vertical="center"/>
    </xf>
    <xf numFmtId="168" fontId="8" fillId="6" borderId="2" applyAlignment="1" pivotButton="0" quotePrefix="0" xfId="0">
      <alignment horizontal="right" vertical="center"/>
    </xf>
    <xf numFmtId="167" fontId="8" fillId="6" borderId="2" applyAlignment="1" pivotButton="0" quotePrefix="0" xfId="0">
      <alignment horizontal="right" vertical="center"/>
    </xf>
    <xf numFmtId="164" fontId="8" fillId="6" borderId="2" applyAlignment="1" pivotButton="0" quotePrefix="0" xfId="0">
      <alignment horizontal="right" vertical="center"/>
    </xf>
    <xf numFmtId="166" fontId="8" fillId="6" borderId="2" applyAlignment="1" pivotButton="0" quotePrefix="0" xfId="0">
      <alignment horizontal="right" vertical="center"/>
    </xf>
    <xf numFmtId="164" fontId="11" fillId="6" borderId="2" applyAlignment="1" pivotButton="0" quotePrefix="0" xfId="0">
      <alignment horizontal="right" vertical="center"/>
    </xf>
    <xf numFmtId="164" fontId="22" fillId="12" borderId="2" applyAlignment="1" pivotButton="0" quotePrefix="0" xfId="0">
      <alignment horizontal="right" vertical="center"/>
    </xf>
    <xf numFmtId="0" fontId="26" fillId="0" borderId="0" applyAlignment="1" pivotButton="0" quotePrefix="0" xfId="0">
      <alignment horizontal="general" vertical="bottom"/>
    </xf>
    <xf numFmtId="168" fontId="8" fillId="0" borderId="0" applyAlignment="1" pivotButton="0" quotePrefix="0" xfId="0">
      <alignment horizontal="general" vertical="bottom"/>
    </xf>
    <xf numFmtId="164" fontId="9" fillId="6" borderId="2" applyAlignment="1" pivotButton="0" quotePrefix="0" xfId="0">
      <alignment horizontal="right" vertical="center"/>
    </xf>
    <xf numFmtId="166" fontId="27" fillId="6" borderId="2" applyAlignment="1" pivotButton="0" quotePrefix="0" xfId="0">
      <alignment horizontal="right" vertical="center"/>
    </xf>
    <xf numFmtId="166" fontId="11" fillId="6" borderId="2" applyAlignment="1" pivotButton="0" quotePrefix="0" xfId="0">
      <alignment horizontal="right" vertical="center"/>
    </xf>
    <xf numFmtId="165" fontId="8" fillId="6" borderId="2" applyAlignment="1" pivotButton="0" quotePrefix="0" xfId="0">
      <alignment horizontal="right" vertical="center"/>
    </xf>
    <xf numFmtId="164" fontId="9" fillId="5" borderId="2" applyAlignment="1" pivotButton="0" quotePrefix="0" xfId="0">
      <alignment horizontal="right" vertical="center"/>
    </xf>
    <xf numFmtId="166" fontId="27" fillId="5" borderId="2" applyAlignment="1" pivotButton="0" quotePrefix="0" xfId="0">
      <alignment horizontal="right" vertical="center"/>
    </xf>
    <xf numFmtId="166" fontId="11" fillId="5" borderId="2" applyAlignment="1" pivotButton="0" quotePrefix="0" xfId="0">
      <alignment horizontal="right" vertical="center"/>
    </xf>
    <xf numFmtId="165" fontId="8" fillId="5" borderId="2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 wrapText="1"/>
    </xf>
    <xf numFmtId="0" fontId="28" fillId="9" borderId="0" applyAlignment="1" pivotButton="0" quotePrefix="0" xfId="0">
      <alignment horizontal="left" vertical="center"/>
    </xf>
    <xf numFmtId="0" fontId="20" fillId="15" borderId="0" applyAlignment="1" pivotButton="0" quotePrefix="0" xfId="0">
      <alignment horizontal="left" vertical="center"/>
    </xf>
    <xf numFmtId="0" fontId="29" fillId="0" borderId="2" applyAlignment="1" pivotButton="0" quotePrefix="0" xfId="0">
      <alignment horizontal="left" vertical="center" wrapText="1"/>
    </xf>
    <xf numFmtId="164" fontId="25" fillId="0" borderId="2" applyAlignment="1" pivotButton="0" quotePrefix="0" xfId="0">
      <alignment horizontal="left" vertical="center" wrapText="1"/>
    </xf>
    <xf numFmtId="164" fontId="9" fillId="16" borderId="2" applyAlignment="1" pivotButton="0" quotePrefix="0" xfId="0">
      <alignment horizontal="right" vertical="center"/>
    </xf>
    <xf numFmtId="164" fontId="8" fillId="0" borderId="2" applyAlignment="1" pivotButton="0" quotePrefix="0" xfId="0">
      <alignment horizontal="right" vertical="center"/>
    </xf>
    <xf numFmtId="165" fontId="25" fillId="0" borderId="2" applyAlignment="1" pivotButton="0" quotePrefix="0" xfId="0">
      <alignment horizontal="general" vertical="bottom"/>
    </xf>
    <xf numFmtId="164" fontId="30" fillId="12" borderId="2" applyAlignment="1" pivotButton="0" quotePrefix="0" xfId="0">
      <alignment horizontal="right" vertical="center"/>
    </xf>
    <xf numFmtId="164" fontId="8" fillId="8" borderId="2" applyAlignment="1" pivotButton="0" quotePrefix="0" xfId="0">
      <alignment horizontal="right" vertical="center"/>
    </xf>
    <xf numFmtId="0" fontId="31" fillId="0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left" vertical="center"/>
    </xf>
    <xf numFmtId="164" fontId="9" fillId="12" borderId="2" applyAlignment="1" pivotButton="0" quotePrefix="0" xfId="0">
      <alignment horizontal="right" vertical="center"/>
    </xf>
    <xf numFmtId="164" fontId="9" fillId="8" borderId="2" applyAlignment="1" pivotButton="0" quotePrefix="0" xfId="0">
      <alignment horizontal="right" vertical="center"/>
    </xf>
    <xf numFmtId="164" fontId="9" fillId="10" borderId="2" applyAlignment="1" pivotButton="0" quotePrefix="0" xfId="0">
      <alignment horizontal="right" vertical="center"/>
    </xf>
    <xf numFmtId="0" fontId="6" fillId="7" borderId="2" applyAlignment="1" pivotButton="0" quotePrefix="0" xfId="0">
      <alignment horizontal="left" vertical="center"/>
    </xf>
    <xf numFmtId="0" fontId="21" fillId="8" borderId="1" applyAlignment="1" pivotButton="0" quotePrefix="0" xfId="0">
      <alignment horizontal="left" vertical="center" wrapText="1"/>
    </xf>
    <xf numFmtId="0" fontId="21" fillId="6" borderId="1" applyAlignment="1" pivotButton="0" quotePrefix="0" xfId="0">
      <alignment horizontal="left" vertical="center" wrapText="1"/>
    </xf>
    <xf numFmtId="0" fontId="32" fillId="2" borderId="0" applyAlignment="1" pivotButton="0" quotePrefix="0" xfId="0">
      <alignment horizontal="left" vertical="center"/>
    </xf>
    <xf numFmtId="165" fontId="9" fillId="9" borderId="2" applyAlignment="1" pivotButton="0" quotePrefix="0" xfId="0">
      <alignment horizontal="right" vertical="center"/>
    </xf>
    <xf numFmtId="166" fontId="9" fillId="9" borderId="2" applyAlignment="1" pivotButton="0" quotePrefix="0" xfId="0">
      <alignment horizontal="right" vertical="center"/>
    </xf>
    <xf numFmtId="0" fontId="21" fillId="9" borderId="2" applyAlignment="1" pivotButton="0" quotePrefix="0" xfId="0">
      <alignment horizontal="center" vertical="center"/>
    </xf>
    <xf numFmtId="165" fontId="9" fillId="11" borderId="2" applyAlignment="1" pivotButton="0" quotePrefix="0" xfId="0">
      <alignment horizontal="right" vertical="center"/>
    </xf>
    <xf numFmtId="166" fontId="9" fillId="11" borderId="2" applyAlignment="1" pivotButton="0" quotePrefix="0" xfId="0">
      <alignment horizontal="right" vertical="center"/>
    </xf>
    <xf numFmtId="0" fontId="21" fillId="11" borderId="2" applyAlignment="1" pivotButton="0" quotePrefix="0" xfId="0">
      <alignment horizontal="center" vertical="center"/>
    </xf>
    <xf numFmtId="165" fontId="9" fillId="10" borderId="2" applyAlignment="1" pivotButton="0" quotePrefix="0" xfId="0">
      <alignment horizontal="right" vertical="center"/>
    </xf>
    <xf numFmtId="166" fontId="9" fillId="10" borderId="2" applyAlignment="1" pivotButton="0" quotePrefix="0" xfId="0">
      <alignment horizontal="right" vertical="center"/>
    </xf>
    <xf numFmtId="0" fontId="21" fillId="10" borderId="2" applyAlignment="1" pivotButton="0" quotePrefix="0" xfId="0">
      <alignment horizontal="center" vertical="center"/>
    </xf>
    <xf numFmtId="165" fontId="9" fillId="8" borderId="2" applyAlignment="1" pivotButton="0" quotePrefix="0" xfId="0">
      <alignment horizontal="right" vertical="center"/>
    </xf>
    <xf numFmtId="166" fontId="9" fillId="8" borderId="2" applyAlignment="1" pivotButton="0" quotePrefix="0" xfId="0">
      <alignment horizontal="right" vertical="center"/>
    </xf>
    <xf numFmtId="0" fontId="21" fillId="8" borderId="2" applyAlignment="1" pivotButton="0" quotePrefix="0" xfId="0">
      <alignment horizontal="center" vertical="center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21" fillId="5" borderId="2" applyAlignment="1" pivotButton="0" quotePrefix="0" xfId="0">
      <alignment horizontal="center" vertical="center"/>
    </xf>
    <xf numFmtId="166" fontId="8" fillId="6" borderId="2" applyAlignment="1" pivotButton="0" quotePrefix="0" xfId="0">
      <alignment horizontal="right" vertical="center"/>
    </xf>
    <xf numFmtId="166" fontId="11" fillId="6" borderId="2" applyAlignment="1" pivotButton="0" quotePrefix="0" xfId="0">
      <alignment horizontal="right" vertical="center"/>
    </xf>
    <xf numFmtId="166" fontId="33" fillId="6" borderId="2" applyAlignment="1" pivotButton="0" quotePrefix="0" xfId="0">
      <alignment horizontal="right" vertical="center"/>
    </xf>
    <xf numFmtId="0" fontId="21" fillId="6" borderId="2" applyAlignment="1" pivotButton="0" quotePrefix="0" xfId="0">
      <alignment horizontal="left" vertical="center"/>
    </xf>
    <xf numFmtId="164" fontId="9" fillId="5" borderId="2" applyAlignment="1" pivotButton="0" quotePrefix="0" xfId="0">
      <alignment horizontal="right" vertical="center"/>
    </xf>
    <xf numFmtId="166" fontId="8" fillId="5" borderId="2" applyAlignment="1" pivotButton="0" quotePrefix="0" xfId="0">
      <alignment horizontal="right" vertical="center"/>
    </xf>
    <xf numFmtId="166" fontId="11" fillId="5" borderId="2" applyAlignment="1" pivotButton="0" quotePrefix="0" xfId="0">
      <alignment horizontal="right" vertical="center"/>
    </xf>
    <xf numFmtId="166" fontId="33" fillId="5" borderId="2" applyAlignment="1" pivotButton="0" quotePrefix="0" xfId="0">
      <alignment horizontal="right" vertical="center"/>
    </xf>
    <xf numFmtId="0" fontId="21" fillId="5" borderId="2" applyAlignment="1" pivotButton="0" quotePrefix="0" xfId="0">
      <alignment horizontal="left" vertical="center"/>
    </xf>
    <xf numFmtId="0" fontId="21" fillId="9" borderId="1" applyAlignment="1" pivotButton="0" quotePrefix="0" xfId="0">
      <alignment horizontal="left" vertical="center" wrapText="1"/>
    </xf>
    <xf numFmtId="0" fontId="21" fillId="10" borderId="1" applyAlignment="1" pivotButton="0" quotePrefix="0" xfId="0">
      <alignment horizontal="left" vertical="center" wrapText="1"/>
    </xf>
    <xf numFmtId="0" fontId="21" fillId="1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left" vertical="center"/>
    </xf>
    <xf numFmtId="0" fontId="5" fillId="3" borderId="0" applyAlignment="1" pivotButton="0" quotePrefix="0" xfId="0">
      <alignment horizontal="left" vertical="center"/>
    </xf>
    <xf numFmtId="0" fontId="6" fillId="4" borderId="0" applyAlignment="1" pivotButton="0" quotePrefix="0" xfId="0">
      <alignment horizontal="left" vertical="center"/>
    </xf>
    <xf numFmtId="0" fontId="7" fillId="0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8" fillId="5" borderId="2" applyAlignment="1" pivotButton="0" quotePrefix="0" xfId="0">
      <alignment horizontal="left" vertical="center"/>
    </xf>
    <xf numFmtId="164" fontId="9" fillId="6" borderId="2" applyAlignment="1" pivotButton="0" quotePrefix="0" xfId="0">
      <alignment horizontal="right" vertical="center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167" fontId="9" fillId="6" borderId="2" applyAlignment="1" pivotButton="0" quotePrefix="0" xfId="0">
      <alignment horizontal="right" vertical="center"/>
    </xf>
    <xf numFmtId="0" fontId="6" fillId="7" borderId="0" applyAlignment="1" pivotButton="0" quotePrefix="0" xfId="0">
      <alignment horizontal="left" vertical="center"/>
    </xf>
    <xf numFmtId="0" fontId="8" fillId="8" borderId="2" applyAlignment="1" pivotButton="0" quotePrefix="0" xfId="0">
      <alignment horizontal="left" vertical="center"/>
    </xf>
    <xf numFmtId="164" fontId="8" fillId="8" borderId="2" applyAlignment="1" pivotButton="0" quotePrefix="0" xfId="0">
      <alignment horizontal="right" vertical="center"/>
    </xf>
    <xf numFmtId="0" fontId="0" fillId="8" borderId="2" applyAlignment="1" pivotButton="0" quotePrefix="0" xfId="0">
      <alignment horizontal="general" vertical="bottom"/>
    </xf>
    <xf numFmtId="0" fontId="8" fillId="9" borderId="2" applyAlignment="1" pivotButton="0" quotePrefix="0" xfId="0">
      <alignment horizontal="left" vertical="center"/>
    </xf>
    <xf numFmtId="166" fontId="8" fillId="9" borderId="2" applyAlignment="1" pivotButton="0" quotePrefix="0" xfId="0">
      <alignment horizontal="right" vertical="center"/>
    </xf>
    <xf numFmtId="0" fontId="0" fillId="9" borderId="2" applyAlignment="1" pivotButton="0" quotePrefix="0" xfId="0">
      <alignment horizontal="general" vertical="bottom"/>
    </xf>
    <xf numFmtId="164" fontId="8" fillId="5" borderId="2" applyAlignment="1" pivotButton="0" quotePrefix="0" xfId="0">
      <alignment horizontal="right" vertical="center"/>
    </xf>
    <xf numFmtId="0" fontId="0" fillId="5" borderId="2" applyAlignment="1" pivotButton="0" quotePrefix="0" xfId="0">
      <alignment horizontal="general" vertical="bottom"/>
    </xf>
    <xf numFmtId="0" fontId="10" fillId="10" borderId="2" applyAlignment="1" pivotButton="0" quotePrefix="0" xfId="0">
      <alignment horizontal="left" vertical="center"/>
    </xf>
    <xf numFmtId="164" fontId="11" fillId="10" borderId="2" applyAlignment="1" pivotButton="0" quotePrefix="0" xfId="0">
      <alignment horizontal="right" vertical="center"/>
    </xf>
    <xf numFmtId="0" fontId="0" fillId="10" borderId="2" applyAlignment="1" pivotButton="0" quotePrefix="0" xfId="0">
      <alignment horizontal="general" vertical="bottom"/>
    </xf>
    <xf numFmtId="0" fontId="6" fillId="2" borderId="0" applyAlignment="1" pivotButton="0" quotePrefix="0" xfId="0">
      <alignment horizontal="left" vertical="center"/>
    </xf>
    <xf numFmtId="0" fontId="12" fillId="2" borderId="2" applyAlignment="1" pivotButton="0" quotePrefix="0" xfId="0">
      <alignment horizontal="center" vertical="center"/>
    </xf>
    <xf numFmtId="0" fontId="13" fillId="9" borderId="2" applyAlignment="1" pivotButton="0" quotePrefix="0" xfId="0">
      <alignment horizontal="left" vertical="center" wrapText="1"/>
    </xf>
    <xf numFmtId="168" fontId="9" fillId="9" borderId="2" applyAlignment="1" pivotButton="0" quotePrefix="0" xfId="0">
      <alignment horizontal="right" vertical="center"/>
    </xf>
    <xf numFmtId="167" fontId="8" fillId="9" borderId="2" applyAlignment="1" pivotButton="0" quotePrefix="0" xfId="0">
      <alignment horizontal="right" vertical="center"/>
    </xf>
    <xf numFmtId="164" fontId="8" fillId="9" borderId="2" applyAlignment="1" pivotButton="0" quotePrefix="0" xfId="0">
      <alignment horizontal="right" vertical="center"/>
    </xf>
    <xf numFmtId="164" fontId="11" fillId="9" borderId="2" applyAlignment="1" pivotButton="0" quotePrefix="0" xfId="0">
      <alignment horizontal="right" vertical="center"/>
    </xf>
    <xf numFmtId="0" fontId="13" fillId="11" borderId="2" applyAlignment="1" pivotButton="0" quotePrefix="0" xfId="0">
      <alignment horizontal="left" vertical="center" wrapText="1"/>
    </xf>
    <xf numFmtId="168" fontId="9" fillId="11" borderId="2" applyAlignment="1" pivotButton="0" quotePrefix="0" xfId="0">
      <alignment horizontal="right" vertical="center"/>
    </xf>
    <xf numFmtId="167" fontId="8" fillId="11" borderId="2" applyAlignment="1" pivotButton="0" quotePrefix="0" xfId="0">
      <alignment horizontal="right" vertical="center"/>
    </xf>
    <xf numFmtId="164" fontId="8" fillId="11" borderId="2" applyAlignment="1" pivotButton="0" quotePrefix="0" xfId="0">
      <alignment horizontal="right" vertical="center"/>
    </xf>
    <xf numFmtId="164" fontId="11" fillId="11" borderId="2" applyAlignment="1" pivotButton="0" quotePrefix="0" xfId="0">
      <alignment horizontal="right" vertical="center"/>
    </xf>
    <xf numFmtId="0" fontId="13" fillId="10" borderId="2" applyAlignment="1" pivotButton="0" quotePrefix="0" xfId="0">
      <alignment horizontal="left" vertical="center" wrapText="1"/>
    </xf>
    <xf numFmtId="168" fontId="9" fillId="10" borderId="2" applyAlignment="1" pivotButton="0" quotePrefix="0" xfId="0">
      <alignment horizontal="right" vertical="center"/>
    </xf>
    <xf numFmtId="167" fontId="8" fillId="10" borderId="2" applyAlignment="1" pivotButton="0" quotePrefix="0" xfId="0">
      <alignment horizontal="right" vertical="center"/>
    </xf>
    <xf numFmtId="164" fontId="8" fillId="10" borderId="2" applyAlignment="1" pivotButton="0" quotePrefix="0" xfId="0">
      <alignment horizontal="right" vertical="center"/>
    </xf>
    <xf numFmtId="0" fontId="13" fillId="8" borderId="2" applyAlignment="1" pivotButton="0" quotePrefix="0" xfId="0">
      <alignment horizontal="left" vertical="center" wrapText="1"/>
    </xf>
    <xf numFmtId="168" fontId="9" fillId="8" borderId="2" applyAlignment="1" pivotButton="0" quotePrefix="0" xfId="0">
      <alignment horizontal="right" vertical="center"/>
    </xf>
    <xf numFmtId="167" fontId="8" fillId="8" borderId="2" applyAlignment="1" pivotButton="0" quotePrefix="0" xfId="0">
      <alignment horizontal="right" vertical="center"/>
    </xf>
    <xf numFmtId="164" fontId="11" fillId="8" borderId="2" applyAlignment="1" pivotButton="0" quotePrefix="0" xfId="0">
      <alignment horizontal="right" vertical="center"/>
    </xf>
    <xf numFmtId="0" fontId="14" fillId="10" borderId="2" applyAlignment="1" pivotButton="0" quotePrefix="0" xfId="0">
      <alignment horizontal="left" vertical="center"/>
    </xf>
    <xf numFmtId="164" fontId="14" fillId="10" borderId="2" applyAlignment="1" pivotButton="0" quotePrefix="0" xfId="0">
      <alignment horizontal="right" vertical="center"/>
    </xf>
    <xf numFmtId="0" fontId="12" fillId="4" borderId="2" applyAlignment="1" pivotButton="0" quotePrefix="0" xfId="0">
      <alignment horizontal="center" vertical="center"/>
    </xf>
    <xf numFmtId="0" fontId="0" fillId="0" borderId="6" pivotButton="0" quotePrefix="0" xfId="0"/>
    <xf numFmtId="0" fontId="8" fillId="6" borderId="2" applyAlignment="1" pivotButton="0" quotePrefix="0" xfId="0">
      <alignment horizontal="left" vertical="center"/>
    </xf>
    <xf numFmtId="168" fontId="8" fillId="6" borderId="2" applyAlignment="1" pivotButton="0" quotePrefix="0" xfId="0">
      <alignment horizontal="right" vertical="center"/>
    </xf>
    <xf numFmtId="168" fontId="8" fillId="5" borderId="2" applyAlignment="1" pivotButton="0" quotePrefix="0" xfId="0">
      <alignment horizontal="right" vertical="center"/>
    </xf>
    <xf numFmtId="0" fontId="10" fillId="5" borderId="2" applyAlignment="1" pivotButton="0" quotePrefix="0" xfId="0">
      <alignment horizontal="left" vertical="center"/>
    </xf>
    <xf numFmtId="168" fontId="11" fillId="5" borderId="2" applyAlignment="1" pivotButton="0" quotePrefix="0" xfId="0">
      <alignment horizontal="right" vertical="center"/>
    </xf>
    <xf numFmtId="0" fontId="10" fillId="6" borderId="2" applyAlignment="1" pivotButton="0" quotePrefix="0" xfId="0">
      <alignment horizontal="left" vertical="center"/>
    </xf>
    <xf numFmtId="168" fontId="11" fillId="6" borderId="2" applyAlignment="1" pivotButton="0" quotePrefix="0" xfId="0">
      <alignment horizontal="right" vertical="center"/>
    </xf>
    <xf numFmtId="0" fontId="12" fillId="7" borderId="2" applyAlignment="1" pivotButton="0" quotePrefix="0" xfId="0">
      <alignment horizontal="center" vertical="center"/>
    </xf>
    <xf numFmtId="0" fontId="10" fillId="9" borderId="2" applyAlignment="1" pivotButton="0" quotePrefix="0" xfId="0">
      <alignment horizontal="left" vertical="center"/>
    </xf>
    <xf numFmtId="0" fontId="10" fillId="11" borderId="2" applyAlignment="1" pivotButton="0" quotePrefix="0" xfId="0">
      <alignment horizontal="left" vertical="center"/>
    </xf>
    <xf numFmtId="0" fontId="8" fillId="11" borderId="2" applyAlignment="1" pivotButton="0" quotePrefix="0" xfId="0">
      <alignment horizontal="left" vertical="center"/>
    </xf>
    <xf numFmtId="0" fontId="8" fillId="10" borderId="2" applyAlignment="1" pivotButton="0" quotePrefix="0" xfId="0">
      <alignment horizontal="left" vertical="center"/>
    </xf>
    <xf numFmtId="0" fontId="10" fillId="8" borderId="2" applyAlignment="1" pivotButton="0" quotePrefix="0" xfId="0">
      <alignment horizontal="left" vertical="center"/>
    </xf>
    <xf numFmtId="0" fontId="10" fillId="12" borderId="2" applyAlignment="1" pivotButton="0" quotePrefix="0" xfId="0">
      <alignment horizontal="left" vertical="center"/>
    </xf>
    <xf numFmtId="0" fontId="8" fillId="12" borderId="2" applyAlignment="1" pivotButton="0" quotePrefix="0" xfId="0">
      <alignment horizontal="left" vertical="center"/>
    </xf>
    <xf numFmtId="168" fontId="9" fillId="12" borderId="2" applyAlignment="1" pivotButton="0" quotePrefix="0" xfId="0">
      <alignment horizontal="right" vertical="center"/>
    </xf>
    <xf numFmtId="167" fontId="8" fillId="12" borderId="2" applyAlignment="1" pivotButton="0" quotePrefix="0" xfId="0">
      <alignment horizontal="right" vertical="center"/>
    </xf>
    <xf numFmtId="164" fontId="11" fillId="12" borderId="2" applyAlignment="1" pivotButton="0" quotePrefix="0" xfId="0">
      <alignment horizontal="right" vertical="center"/>
    </xf>
    <xf numFmtId="164" fontId="8" fillId="12" borderId="2" applyAlignment="1" pivotButton="0" quotePrefix="0" xfId="0">
      <alignment horizontal="right" vertical="center"/>
    </xf>
    <xf numFmtId="0" fontId="14" fillId="10" borderId="2" applyAlignment="1" pivotButton="0" quotePrefix="0" xfId="0">
      <alignment horizontal="left" vertical="center" wrapText="1"/>
    </xf>
    <xf numFmtId="0" fontId="15" fillId="2" borderId="0" applyAlignment="1" pivotButton="0" quotePrefix="0" xfId="0">
      <alignment horizontal="left" vertical="center"/>
    </xf>
    <xf numFmtId="0" fontId="16" fillId="2" borderId="0" applyAlignment="1" pivotButton="0" quotePrefix="0" xfId="0">
      <alignment horizontal="left" vertical="center"/>
    </xf>
    <xf numFmtId="0" fontId="17" fillId="13" borderId="2" applyAlignment="1" pivotButton="0" quotePrefix="0" xfId="0">
      <alignment horizontal="center" vertical="center"/>
    </xf>
    <xf numFmtId="0" fontId="0" fillId="6" borderId="0" applyAlignment="1" pivotButton="0" quotePrefix="0" xfId="0">
      <alignment horizontal="general" vertical="bottom"/>
    </xf>
    <xf numFmtId="166" fontId="18" fillId="5" borderId="2" applyAlignment="1" pivotButton="0" quotePrefix="0" xfId="0">
      <alignment horizontal="center" vertical="center"/>
    </xf>
    <xf numFmtId="164" fontId="18" fillId="9" borderId="2" applyAlignment="1" pivotButton="0" quotePrefix="0" xfId="0">
      <alignment horizontal="center" vertical="center"/>
    </xf>
    <xf numFmtId="166" fontId="18" fillId="11" borderId="2" applyAlignment="1" pivotButton="0" quotePrefix="0" xfId="0">
      <alignment horizontal="center" vertical="center"/>
    </xf>
    <xf numFmtId="165" fontId="18" fillId="12" borderId="2" applyAlignment="1" pivotButton="0" quotePrefix="0" xfId="0">
      <alignment horizontal="center" vertical="center"/>
    </xf>
    <xf numFmtId="168" fontId="18" fillId="8" borderId="2" applyAlignment="1" pivotButton="0" quotePrefix="0" xfId="0">
      <alignment horizontal="center" vertical="center"/>
    </xf>
    <xf numFmtId="0" fontId="19" fillId="5" borderId="0" applyAlignment="1" pivotButton="0" quotePrefix="0" xfId="0">
      <alignment horizontal="center" vertical="center"/>
    </xf>
    <xf numFmtId="0" fontId="19" fillId="9" borderId="0" applyAlignment="1" pivotButton="0" quotePrefix="0" xfId="0">
      <alignment horizontal="center" vertical="center"/>
    </xf>
    <xf numFmtId="0" fontId="19" fillId="11" borderId="0" applyAlignment="1" pivotButton="0" quotePrefix="0" xfId="0">
      <alignment horizontal="center" vertical="center"/>
    </xf>
    <xf numFmtId="0" fontId="19" fillId="12" borderId="0" applyAlignment="1" pivotButton="0" quotePrefix="0" xfId="0">
      <alignment horizontal="center" vertical="center"/>
    </xf>
    <xf numFmtId="0" fontId="19" fillId="8" borderId="0" applyAlignment="1" pivotButton="0" quotePrefix="0" xfId="0">
      <alignment horizontal="center" vertical="center"/>
    </xf>
    <xf numFmtId="0" fontId="20" fillId="4" borderId="0" applyAlignment="1" pivotButton="0" quotePrefix="0" xfId="0">
      <alignment horizontal="left" vertical="center"/>
    </xf>
    <xf numFmtId="0" fontId="6" fillId="2" borderId="2" applyAlignment="1" pivotButton="0" quotePrefix="0" xfId="0">
      <alignment horizontal="center" vertical="center"/>
    </xf>
    <xf numFmtId="0" fontId="21" fillId="8" borderId="2" applyAlignment="1" pivotButton="0" quotePrefix="0" xfId="0">
      <alignment horizontal="left" vertical="center" wrapText="1"/>
    </xf>
    <xf numFmtId="0" fontId="21" fillId="8" borderId="2" applyAlignment="1" pivotButton="0" quotePrefix="0" xfId="0">
      <alignment horizontal="center" vertical="center" wrapText="1"/>
    </xf>
    <xf numFmtId="0" fontId="21" fillId="11" borderId="2" applyAlignment="1" pivotButton="0" quotePrefix="0" xfId="0">
      <alignment horizontal="left" vertical="center" wrapText="1"/>
    </xf>
    <xf numFmtId="0" fontId="21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left" vertical="center" wrapText="1"/>
    </xf>
    <xf numFmtId="0" fontId="21" fillId="12" borderId="2" applyAlignment="1" pivotButton="0" quotePrefix="0" xfId="0">
      <alignment horizontal="center" vertical="center" wrapText="1"/>
    </xf>
    <xf numFmtId="0" fontId="20" fillId="2" borderId="0" applyAlignment="1" pivotButton="0" quotePrefix="0" xfId="0">
      <alignment horizontal="left" vertical="center"/>
    </xf>
    <xf numFmtId="0" fontId="6" fillId="2" borderId="2" applyAlignment="1" pivotButton="0" quotePrefix="0" xfId="0">
      <alignment horizontal="left" vertical="center"/>
    </xf>
    <xf numFmtId="0" fontId="22" fillId="5" borderId="2" applyAlignment="1" pivotButton="0" quotePrefix="0" xfId="0">
      <alignment horizontal="left" vertical="center"/>
    </xf>
    <xf numFmtId="0" fontId="21" fillId="5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7" fillId="5" borderId="0" applyAlignment="1" pivotButton="0" quotePrefix="0" xfId="0">
      <alignment horizontal="left" vertical="center"/>
    </xf>
    <xf numFmtId="0" fontId="20" fillId="7" borderId="0" applyAlignment="1" pivotButton="0" quotePrefix="0" xfId="0">
      <alignment horizontal="left" vertical="center"/>
    </xf>
    <xf numFmtId="166" fontId="9" fillId="0" borderId="2" applyAlignment="1" pivotButton="0" quotePrefix="0" xfId="0">
      <alignment horizontal="right" vertical="center"/>
    </xf>
    <xf numFmtId="166" fontId="8" fillId="0" borderId="2" applyAlignment="1" pivotButton="0" quotePrefix="0" xfId="0">
      <alignment horizontal="right" vertical="center"/>
    </xf>
    <xf numFmtId="0" fontId="7" fillId="0" borderId="2" applyAlignment="1" pivotButton="0" quotePrefix="0" xfId="0">
      <alignment horizontal="left" vertical="center" wrapText="1"/>
    </xf>
    <xf numFmtId="166" fontId="11" fillId="8" borderId="2" applyAlignment="1" pivotButton="0" quotePrefix="0" xfId="0">
      <alignment horizontal="right" vertical="center"/>
    </xf>
    <xf numFmtId="0" fontId="20" fillId="14" borderId="0" applyAlignment="1" pivotButton="0" quotePrefix="0" xfId="0">
      <alignment horizontal="left" vertical="center"/>
    </xf>
    <xf numFmtId="166" fontId="24" fillId="11" borderId="2" applyAlignment="1" pivotButton="0" quotePrefix="0" xfId="0">
      <alignment horizontal="right" vertical="center"/>
    </xf>
    <xf numFmtId="166" fontId="25" fillId="0" borderId="0" applyAlignment="1" pivotButton="0" quotePrefix="0" xfId="0">
      <alignment horizontal="general" vertical="bottom"/>
    </xf>
    <xf numFmtId="166" fontId="22" fillId="12" borderId="2" applyAlignment="1" pivotButton="0" quotePrefix="0" xfId="0">
      <alignment horizontal="right" vertical="center"/>
    </xf>
    <xf numFmtId="164" fontId="9" fillId="0" borderId="2" applyAlignment="1" pivotButton="0" quotePrefix="0" xfId="0">
      <alignment horizontal="right" vertical="center"/>
    </xf>
    <xf numFmtId="0" fontId="0" fillId="0" borderId="2" applyAlignment="1" pivotButton="0" quotePrefix="0" xfId="0">
      <alignment horizontal="general" vertical="bottom"/>
    </xf>
    <xf numFmtId="165" fontId="9" fillId="0" borderId="2" applyAlignment="1" pivotButton="0" quotePrefix="0" xfId="0">
      <alignment horizontal="right" vertical="center"/>
    </xf>
    <xf numFmtId="168" fontId="9" fillId="0" borderId="2" applyAlignment="1" pivotButton="0" quotePrefix="0" xfId="0">
      <alignment horizontal="right" vertical="center"/>
    </xf>
    <xf numFmtId="167" fontId="9" fillId="0" borderId="2" applyAlignment="1" pivotButton="0" quotePrefix="0" xfId="0">
      <alignment horizontal="right" vertical="center"/>
    </xf>
    <xf numFmtId="0" fontId="10" fillId="5" borderId="2" applyAlignment="1" pivotButton="0" quotePrefix="0" xfId="0">
      <alignment horizontal="center" vertical="center"/>
    </xf>
    <xf numFmtId="167" fontId="8" fillId="5" borderId="2" applyAlignment="1" pivotButton="0" quotePrefix="0" xfId="0">
      <alignment horizontal="right" vertical="center"/>
    </xf>
    <xf numFmtId="166" fontId="8" fillId="5" borderId="2" applyAlignment="1" pivotButton="0" quotePrefix="0" xfId="0">
      <alignment horizontal="right" vertical="center"/>
    </xf>
    <xf numFmtId="164" fontId="11" fillId="5" borderId="2" applyAlignment="1" pivotButton="0" quotePrefix="0" xfId="0">
      <alignment horizontal="right" vertical="center"/>
    </xf>
    <xf numFmtId="0" fontId="10" fillId="6" borderId="2" applyAlignment="1" pivotButton="0" quotePrefix="0" xfId="0">
      <alignment horizontal="center" vertical="center"/>
    </xf>
    <xf numFmtId="167" fontId="8" fillId="6" borderId="2" applyAlignment="1" pivotButton="0" quotePrefix="0" xfId="0">
      <alignment horizontal="right" vertical="center"/>
    </xf>
    <xf numFmtId="164" fontId="8" fillId="6" borderId="2" applyAlignment="1" pivotButton="0" quotePrefix="0" xfId="0">
      <alignment horizontal="right" vertical="center"/>
    </xf>
    <xf numFmtId="166" fontId="8" fillId="6" borderId="2" applyAlignment="1" pivotButton="0" quotePrefix="0" xfId="0">
      <alignment horizontal="right" vertical="center"/>
    </xf>
    <xf numFmtId="164" fontId="11" fillId="6" borderId="2" applyAlignment="1" pivotButton="0" quotePrefix="0" xfId="0">
      <alignment horizontal="right" vertical="center"/>
    </xf>
    <xf numFmtId="164" fontId="22" fillId="12" borderId="2" applyAlignment="1" pivotButton="0" quotePrefix="0" xfId="0">
      <alignment horizontal="right" vertical="center"/>
    </xf>
    <xf numFmtId="0" fontId="26" fillId="0" borderId="0" applyAlignment="1" pivotButton="0" quotePrefix="0" xfId="0">
      <alignment horizontal="general" vertical="bottom"/>
    </xf>
    <xf numFmtId="168" fontId="8" fillId="0" borderId="0" applyAlignment="1" pivotButton="0" quotePrefix="0" xfId="0">
      <alignment horizontal="general" vertical="bottom"/>
    </xf>
    <xf numFmtId="166" fontId="27" fillId="6" borderId="2" applyAlignment="1" pivotButton="0" quotePrefix="0" xfId="0">
      <alignment horizontal="right" vertical="center"/>
    </xf>
    <xf numFmtId="166" fontId="11" fillId="6" borderId="2" applyAlignment="1" pivotButton="0" quotePrefix="0" xfId="0">
      <alignment horizontal="right" vertical="center"/>
    </xf>
    <xf numFmtId="165" fontId="8" fillId="6" borderId="2" applyAlignment="1" pivotButton="0" quotePrefix="0" xfId="0">
      <alignment horizontal="right" vertical="center"/>
    </xf>
    <xf numFmtId="164" fontId="9" fillId="5" borderId="2" applyAlignment="1" pivotButton="0" quotePrefix="0" xfId="0">
      <alignment horizontal="right" vertical="center"/>
    </xf>
    <xf numFmtId="166" fontId="27" fillId="5" borderId="2" applyAlignment="1" pivotButton="0" quotePrefix="0" xfId="0">
      <alignment horizontal="right" vertical="center"/>
    </xf>
    <xf numFmtId="166" fontId="11" fillId="5" borderId="2" applyAlignment="1" pivotButton="0" quotePrefix="0" xfId="0">
      <alignment horizontal="right" vertical="center"/>
    </xf>
    <xf numFmtId="165" fontId="8" fillId="5" borderId="2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 wrapText="1"/>
    </xf>
    <xf numFmtId="0" fontId="28" fillId="9" borderId="0" applyAlignment="1" pivotButton="0" quotePrefix="0" xfId="0">
      <alignment horizontal="left" vertical="center"/>
    </xf>
    <xf numFmtId="0" fontId="20" fillId="15" borderId="0" applyAlignment="1" pivotButton="0" quotePrefix="0" xfId="0">
      <alignment horizontal="left" vertical="center"/>
    </xf>
    <xf numFmtId="0" fontId="29" fillId="0" borderId="2" applyAlignment="1" pivotButton="0" quotePrefix="0" xfId="0">
      <alignment horizontal="left" vertical="center" wrapText="1"/>
    </xf>
    <xf numFmtId="164" fontId="25" fillId="0" borderId="2" applyAlignment="1" pivotButton="0" quotePrefix="0" xfId="0">
      <alignment horizontal="left" vertical="center" wrapText="1"/>
    </xf>
    <xf numFmtId="164" fontId="9" fillId="16" borderId="2" applyAlignment="1" pivotButton="0" quotePrefix="0" xfId="0">
      <alignment horizontal="right" vertical="center"/>
    </xf>
    <xf numFmtId="164" fontId="8" fillId="0" borderId="2" applyAlignment="1" pivotButton="0" quotePrefix="0" xfId="0">
      <alignment horizontal="right" vertical="center"/>
    </xf>
    <xf numFmtId="165" fontId="25" fillId="0" borderId="2" applyAlignment="1" pivotButton="0" quotePrefix="0" xfId="0">
      <alignment horizontal="general" vertical="bottom"/>
    </xf>
    <xf numFmtId="164" fontId="30" fillId="12" borderId="2" applyAlignment="1" pivotButton="0" quotePrefix="0" xfId="0">
      <alignment horizontal="right" vertical="center"/>
    </xf>
    <xf numFmtId="0" fontId="31" fillId="0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left" vertical="center"/>
    </xf>
    <xf numFmtId="164" fontId="9" fillId="12" borderId="2" applyAlignment="1" pivotButton="0" quotePrefix="0" xfId="0">
      <alignment horizontal="right" vertical="center"/>
    </xf>
    <xf numFmtId="164" fontId="9" fillId="8" borderId="2" applyAlignment="1" pivotButton="0" quotePrefix="0" xfId="0">
      <alignment horizontal="right" vertical="center"/>
    </xf>
    <xf numFmtId="164" fontId="9" fillId="10" borderId="2" applyAlignment="1" pivotButton="0" quotePrefix="0" xfId="0">
      <alignment horizontal="right" vertical="center"/>
    </xf>
    <xf numFmtId="0" fontId="6" fillId="7" borderId="2" applyAlignment="1" pivotButton="0" quotePrefix="0" xfId="0">
      <alignment horizontal="left" vertical="center"/>
    </xf>
    <xf numFmtId="0" fontId="21" fillId="8" borderId="1" applyAlignment="1" pivotButton="0" quotePrefix="0" xfId="0">
      <alignment horizontal="left" vertical="center" wrapText="1"/>
    </xf>
    <xf numFmtId="0" fontId="21" fillId="6" borderId="1" applyAlignment="1" pivotButton="0" quotePrefix="0" xfId="0">
      <alignment horizontal="left" vertical="center" wrapText="1"/>
    </xf>
    <xf numFmtId="0" fontId="32" fillId="2" borderId="0" applyAlignment="1" pivotButton="0" quotePrefix="0" xfId="0">
      <alignment horizontal="left" vertical="center"/>
    </xf>
    <xf numFmtId="165" fontId="9" fillId="9" borderId="2" applyAlignment="1" pivotButton="0" quotePrefix="0" xfId="0">
      <alignment horizontal="right" vertical="center"/>
    </xf>
    <xf numFmtId="166" fontId="9" fillId="9" borderId="2" applyAlignment="1" pivotButton="0" quotePrefix="0" xfId="0">
      <alignment horizontal="right" vertical="center"/>
    </xf>
    <xf numFmtId="0" fontId="21" fillId="9" borderId="2" applyAlignment="1" pivotButton="0" quotePrefix="0" xfId="0">
      <alignment horizontal="center" vertical="center"/>
    </xf>
    <xf numFmtId="165" fontId="9" fillId="11" borderId="2" applyAlignment="1" pivotButton="0" quotePrefix="0" xfId="0">
      <alignment horizontal="right" vertical="center"/>
    </xf>
    <xf numFmtId="166" fontId="9" fillId="11" borderId="2" applyAlignment="1" pivotButton="0" quotePrefix="0" xfId="0">
      <alignment horizontal="right" vertical="center"/>
    </xf>
    <xf numFmtId="0" fontId="21" fillId="11" borderId="2" applyAlignment="1" pivotButton="0" quotePrefix="0" xfId="0">
      <alignment horizontal="center" vertical="center"/>
    </xf>
    <xf numFmtId="165" fontId="9" fillId="10" borderId="2" applyAlignment="1" pivotButton="0" quotePrefix="0" xfId="0">
      <alignment horizontal="right" vertical="center"/>
    </xf>
    <xf numFmtId="166" fontId="9" fillId="10" borderId="2" applyAlignment="1" pivotButton="0" quotePrefix="0" xfId="0">
      <alignment horizontal="right" vertical="center"/>
    </xf>
    <xf numFmtId="0" fontId="21" fillId="10" borderId="2" applyAlignment="1" pivotButton="0" quotePrefix="0" xfId="0">
      <alignment horizontal="center" vertical="center"/>
    </xf>
    <xf numFmtId="0" fontId="34" fillId="0" borderId="7" applyAlignment="1" pivotButton="0" quotePrefix="0" xfId="0">
      <alignment horizontal="left" wrapText="1"/>
    </xf>
    <xf numFmtId="165" fontId="9" fillId="8" borderId="2" applyAlignment="1" pivotButton="0" quotePrefix="0" xfId="0">
      <alignment horizontal="right" vertical="center"/>
    </xf>
    <xf numFmtId="166" fontId="9" fillId="8" borderId="2" applyAlignment="1" pivotButton="0" quotePrefix="0" xfId="0">
      <alignment horizontal="right" vertical="center"/>
    </xf>
    <xf numFmtId="0" fontId="21" fillId="8" borderId="2" applyAlignment="1" pivotButton="0" quotePrefix="0" xfId="0">
      <alignment horizontal="center" vertical="center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21" fillId="5" borderId="2" applyAlignment="1" pivotButton="0" quotePrefix="0" xfId="0">
      <alignment horizontal="center" vertical="center"/>
    </xf>
    <xf numFmtId="166" fontId="33" fillId="6" borderId="2" applyAlignment="1" pivotButton="0" quotePrefix="0" xfId="0">
      <alignment horizontal="right" vertical="center"/>
    </xf>
    <xf numFmtId="0" fontId="21" fillId="6" borderId="2" applyAlignment="1" pivotButton="0" quotePrefix="0" xfId="0">
      <alignment horizontal="left" vertical="center"/>
    </xf>
    <xf numFmtId="166" fontId="33" fillId="5" borderId="2" applyAlignment="1" pivotButton="0" quotePrefix="0" xfId="0">
      <alignment horizontal="right" vertical="center"/>
    </xf>
    <xf numFmtId="0" fontId="21" fillId="5" borderId="2" applyAlignment="1" pivotButton="0" quotePrefix="0" xfId="0">
      <alignment horizontal="left" vertical="center"/>
    </xf>
    <xf numFmtId="0" fontId="21" fillId="9" borderId="1" applyAlignment="1" pivotButton="0" quotePrefix="0" xfId="0">
      <alignment horizontal="left" vertical="center" wrapText="1"/>
    </xf>
    <xf numFmtId="0" fontId="36" fillId="10" borderId="7" applyAlignment="1" pivotButton="0" quotePrefix="0" xfId="0">
      <alignment horizontal="left" wrapText="1"/>
    </xf>
    <xf numFmtId="0" fontId="21" fillId="12" borderId="1" applyAlignment="1" pivotButton="0" quotePrefix="0" xfId="0">
      <alignment horizontal="left" vertical="center" wrapText="1"/>
    </xf>
    <xf numFmtId="0" fontId="35" fillId="17" borderId="0" applyAlignment="1" pivotButton="0" quotePrefix="0" xfId="0">
      <alignment horizontal="left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91B1B"/>
      <rgbColor rgb="FF1A6E3C"/>
      <rgbColor rgb="FF000080"/>
      <rgbColor rgb="FF808000"/>
      <rgbColor rgb="FF800080"/>
      <rgbColor rgb="FF008080"/>
      <rgbColor rgb="FFFFFBEB"/>
      <rgbColor rgb="FF888888"/>
      <rgbColor rgb="FFAAAAFF"/>
      <rgbColor rgb="FFB45309"/>
      <rgbColor rgb="FFFFF9E6"/>
      <rgbColor rgb="FFE6F4EC"/>
      <rgbColor rgb="FF660066"/>
      <rgbColor rgb="FFFF8080"/>
      <rgbColor rgb="FF0066CC"/>
      <rgbColor rgb="FFEDE9F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E8E8"/>
      <rgbColor rgb="FFF8F8F8"/>
      <rgbColor rgb="FFFFF4E6"/>
      <rgbColor rgb="FF99CCFF"/>
      <rgbColor rgb="FFFF99CC"/>
      <rgbColor rgb="FFCC99FF"/>
      <rgbColor rgb="FFFDE8E8"/>
      <rgbColor rgb="FF7C6AF7"/>
      <rgbColor rgb="FF33CCCC"/>
      <rgbColor rgb="FF99CC00"/>
      <rgbColor rgb="FFFFCC00"/>
      <rgbColor rgb="FFFF9900"/>
      <rgbColor rgb="FFFF6600"/>
      <rgbColor rgb="FF555555"/>
      <rgbColor rgb="FFAAAAAA"/>
      <rgbColor rgb="FF003366"/>
      <rgbColor rgb="FF339966"/>
      <rgbColor rgb="FF003300"/>
      <rgbColor rgb="FF333300"/>
      <rgbColor rgb="FF92400E"/>
      <rgbColor rgb="FF993366"/>
      <rgbColor rgb="FF2D3561"/>
      <rgbColor rgb="FF1E2A4A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G54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177" min="1" max="1"/>
    <col width="18" customWidth="1" style="177" min="2" max="5"/>
    <col width="22" customWidth="1" style="177" min="6" max="7"/>
  </cols>
  <sheetData>
    <row r="1" ht="37.5" customHeight="1" s="178">
      <c r="A1" s="179" t="inlineStr">
        <is>
          <t>Path to $50K Monthly Profit — Shutter</t>
        </is>
      </c>
    </row>
    <row r="2" ht="19.5" customHeight="1" s="178">
      <c r="A2" s="180" t="inlineStr">
        <is>
          <t>How many creators, bookings, and users it takes to hit $50,000/month net (before taxes)</t>
        </is>
      </c>
    </row>
    <row r="4" ht="15" customHeight="1" s="178">
      <c r="A4" s="181" t="inlineStr">
        <is>
          <t>KEY ASSUMPTIONS  (blue = change these)</t>
        </is>
      </c>
      <c r="D4" s="182" t="inlineStr">
        <is>
          <t>All assumptions feed every table below</t>
        </is>
      </c>
      <c r="E4" s="183" t="n"/>
      <c r="F4" s="183" t="n"/>
      <c r="G4" s="183" t="n"/>
    </row>
    <row r="5" ht="18" customHeight="1" s="178">
      <c r="A5" s="184" t="inlineStr">
        <is>
          <t>Avg booking value ($)</t>
        </is>
      </c>
      <c r="B5" s="185" t="n">
        <v>1000</v>
      </c>
      <c r="C5" s="182" t="inlineStr">
        <is>
          <t>Conservative Tahoe rate — adjust up for multi-day shoots</t>
        </is>
      </c>
      <c r="D5" s="183" t="n"/>
      <c r="E5" s="183" t="n"/>
      <c r="F5" s="183" t="n"/>
      <c r="G5" s="183" t="n"/>
    </row>
    <row r="6" ht="18" customHeight="1" s="178">
      <c r="A6" s="184" t="inlineStr">
        <is>
          <t>Client service fee %</t>
        </is>
      </c>
      <c r="B6" s="186" t="n">
        <v>0.04</v>
      </c>
      <c r="C6" s="182" t="inlineStr">
        <is>
          <t>Charged on top of booking amount</t>
        </is>
      </c>
      <c r="D6" s="183" t="n"/>
      <c r="E6" s="183" t="n"/>
      <c r="F6" s="183" t="n"/>
      <c r="G6" s="183" t="n"/>
    </row>
    <row r="7" ht="18" customHeight="1" s="178">
      <c r="A7" s="184" t="inlineStr">
        <is>
          <t>Creator payout deduction %</t>
        </is>
      </c>
      <c r="B7" s="186" t="n">
        <v>0.02</v>
      </c>
      <c r="C7" s="182" t="inlineStr">
        <is>
          <t>Taken from creator payout</t>
        </is>
      </c>
      <c r="D7" s="183" t="n"/>
      <c r="E7" s="183" t="n"/>
      <c r="F7" s="183" t="n"/>
      <c r="G7" s="183" t="n"/>
    </row>
    <row r="8" ht="18" customHeight="1" s="178">
      <c r="A8" s="184" t="inlineStr">
        <is>
          <t>Processor fee % (Stripe/Helcim)</t>
        </is>
      </c>
      <c r="B8" s="186" t="n">
        <v>0.029</v>
      </c>
      <c r="C8" s="182" t="inlineStr">
        <is>
          <t>2.9% Stripe | 2.49% Helcim | 0% Dwolla ACH</t>
        </is>
      </c>
      <c r="D8" s="183" t="n"/>
      <c r="E8" s="183" t="n"/>
      <c r="F8" s="183" t="n"/>
      <c r="G8" s="183" t="n"/>
    </row>
    <row r="9" ht="18" customHeight="1" s="178">
      <c r="A9" s="184" t="inlineStr">
        <is>
          <t>Processor fixed fee per txn ($)</t>
        </is>
      </c>
      <c r="B9" s="187" t="n">
        <v>0.3</v>
      </c>
      <c r="C9" s="182" t="inlineStr">
        <is>
          <t>$0.30 Stripe | $0.25 Helcim | ~$0.25 Dwolla</t>
        </is>
      </c>
      <c r="D9" s="183" t="n"/>
      <c r="E9" s="183" t="n"/>
      <c r="F9" s="183" t="n"/>
      <c r="G9" s="183" t="n"/>
    </row>
    <row r="10" ht="18" customHeight="1" s="178">
      <c r="A10" s="184" t="inlineStr">
        <is>
          <t>Creator Pro monthly price ($)</t>
        </is>
      </c>
      <c r="B10" s="185" t="n">
        <v>19</v>
      </c>
      <c r="C10" s="182" t="inlineStr">
        <is>
          <t>Phase 2 — active creators who pay for featured placement</t>
        </is>
      </c>
      <c r="D10" s="183" t="n"/>
      <c r="E10" s="183" t="n"/>
      <c r="F10" s="183" t="n"/>
      <c r="G10" s="183" t="n"/>
    </row>
    <row r="11" ht="18" customHeight="1" s="178">
      <c r="A11" s="184" t="inlineStr">
        <is>
          <t>Creator Pro adoption rate %</t>
        </is>
      </c>
      <c r="B11" s="186" t="n">
        <v>0.65</v>
      </c>
      <c r="C11" s="182" t="inlineStr">
        <is>
          <t>% of active creators who pay for Pro</t>
        </is>
      </c>
      <c r="D11" s="183" t="n"/>
      <c r="E11" s="183" t="n"/>
      <c r="F11" s="183" t="n"/>
      <c r="G11" s="183" t="n"/>
    </row>
    <row r="12" ht="18" customHeight="1" s="178">
      <c r="A12" s="184" t="inlineStr">
        <is>
          <t>Avg bookings per creator per month</t>
        </is>
      </c>
      <c r="B12" s="188" t="n">
        <v>3</v>
      </c>
      <c r="C12" s="182" t="inlineStr">
        <is>
          <t>Realistic mid-season average — adjust per season</t>
        </is>
      </c>
      <c r="D12" s="183" t="n"/>
      <c r="E12" s="183" t="n"/>
      <c r="F12" s="183" t="n"/>
      <c r="G12" s="183" t="n"/>
    </row>
    <row r="13" ht="18" customHeight="1" s="178">
      <c r="A13" s="184" t="inlineStr">
        <is>
          <t>Infra cost per month ($)</t>
        </is>
      </c>
      <c r="B13" s="185" t="n">
        <v>300</v>
      </c>
      <c r="C13" s="182" t="inlineStr">
        <is>
          <t>Conservative Stage 2-3 estimate</t>
        </is>
      </c>
      <c r="D13" s="183" t="n"/>
      <c r="E13" s="183" t="n"/>
      <c r="F13" s="183" t="n"/>
      <c r="G13" s="183" t="n"/>
    </row>
    <row r="15" ht="15" customHeight="1" s="178">
      <c r="A15" s="189" t="inlineStr">
        <is>
          <t>NET REVENUE PER BOOKING (auto-calculated from assumptions)</t>
        </is>
      </c>
    </row>
    <row r="16" ht="18" customHeight="1" s="178">
      <c r="A16" s="190" t="inlineStr">
        <is>
          <t>Client pays (booking + service fee)</t>
        </is>
      </c>
      <c r="B16" s="191">
        <f>$B$5*(1+$B$6)</f>
        <v/>
      </c>
      <c r="C16" s="192" t="n"/>
      <c r="D16" s="192" t="n"/>
      <c r="E16" s="192" t="n"/>
      <c r="F16" s="192" t="n"/>
      <c r="G16" s="192" t="n"/>
    </row>
    <row r="17" ht="18" customHeight="1" s="178">
      <c r="A17" s="193" t="inlineStr">
        <is>
          <t>Processor fee on client total</t>
        </is>
      </c>
      <c r="B17" s="194">
        <f>B16*$B$8+$B$9</f>
        <v/>
      </c>
      <c r="C17" s="195" t="n"/>
      <c r="D17" s="195" t="n"/>
      <c r="E17" s="195" t="n"/>
      <c r="F17" s="195" t="n"/>
      <c r="G17" s="195" t="n"/>
    </row>
    <row r="18" ht="18" customHeight="1" s="178">
      <c r="A18" s="184" t="inlineStr">
        <is>
          <t>Creator payout (booking - deduction)</t>
        </is>
      </c>
      <c r="B18" s="196">
        <f>$B$5*(1-$B$7)</f>
        <v/>
      </c>
      <c r="C18" s="197" t="n"/>
      <c r="D18" s="197" t="n"/>
      <c r="E18" s="197" t="n"/>
      <c r="F18" s="197" t="n"/>
      <c r="G18" s="197" t="n"/>
    </row>
    <row r="19" ht="18" customHeight="1" s="178">
      <c r="A19" s="184" t="inlineStr">
        <is>
          <t>Platform gross (fees collected)</t>
        </is>
      </c>
      <c r="B19" s="196">
        <f>$B$5*$B$6+$B$5*$B$7</f>
        <v/>
      </c>
      <c r="C19" s="197" t="n"/>
      <c r="D19" s="197" t="n"/>
      <c r="E19" s="197" t="n"/>
      <c r="F19" s="197" t="n"/>
      <c r="G19" s="197" t="n"/>
    </row>
    <row r="20" ht="18" customHeight="1" s="178">
      <c r="A20" s="198" t="inlineStr">
        <is>
          <t>Platform NET per booking (after processor)</t>
        </is>
      </c>
      <c r="B20" s="199">
        <f>B17-B18-B19</f>
        <v/>
      </c>
      <c r="C20" s="200" t="n"/>
      <c r="D20" s="200" t="n"/>
      <c r="E20" s="200" t="n"/>
      <c r="F20" s="200" t="n"/>
      <c r="G20" s="200" t="n"/>
    </row>
    <row r="23" ht="15" customHeight="1" s="178">
      <c r="A23" s="201" t="inlineStr">
        <is>
          <t>SCENARIOS — WHAT IT TAKES TO HIT $50K/MONTH</t>
        </is>
      </c>
    </row>
    <row r="24" ht="15" customHeight="1" s="178">
      <c r="A24" s="182" t="inlineStr">
        <is>
          <t>Each scenario uses a different mix of creator count and booking volume. Change assumptions above to update.</t>
        </is>
      </c>
      <c r="B24" s="183" t="n"/>
      <c r="C24" s="183" t="n"/>
      <c r="D24" s="183" t="n"/>
      <c r="E24" s="183" t="n"/>
      <c r="F24" s="183" t="n"/>
      <c r="G24" s="183" t="n"/>
    </row>
    <row r="25" ht="15" customHeight="1" s="178">
      <c r="A25" s="202" t="inlineStr">
        <is>
          <t>Scenario</t>
        </is>
      </c>
      <c r="B25" s="202" t="inlineStr">
        <is>
          <t>Active Creators</t>
        </is>
      </c>
      <c r="C25" s="202" t="inlineStr">
        <is>
          <t>Bookings/Month</t>
        </is>
      </c>
      <c r="D25" s="202" t="inlineStr">
        <is>
          <t>Transaction Revenue</t>
        </is>
      </c>
      <c r="E25" s="202" t="inlineStr">
        <is>
          <t>Pro Subscriptions</t>
        </is>
      </c>
      <c r="F25" s="202" t="inlineStr">
        <is>
          <t>Total Revenue</t>
        </is>
      </c>
      <c r="G25" s="202" t="inlineStr">
        <is>
          <t>Net Profit</t>
        </is>
      </c>
    </row>
    <row r="26" ht="36" customHeight="1" s="178">
      <c r="A26" s="203" t="inlineStr">
        <is>
          <t>A — Tahoe Only
(no subscriptions)</t>
        </is>
      </c>
      <c r="B26" s="204" t="n">
        <v>200</v>
      </c>
      <c r="C26" s="205">
        <f>$B$12*B26</f>
        <v/>
      </c>
      <c r="D26" s="206">
        <f>C26*$B$20</f>
        <v/>
      </c>
      <c r="E26" s="206">
        <f>0</f>
        <v/>
      </c>
      <c r="F26" s="206">
        <f>D26+E26</f>
        <v/>
      </c>
      <c r="G26" s="207">
        <f>F26-$B$13</f>
        <v/>
      </c>
    </row>
    <row r="27" ht="36" customHeight="1" s="178">
      <c r="A27" s="208" t="inlineStr">
        <is>
          <t>B — Tahoe + Reno
(some Pro creators)</t>
        </is>
      </c>
      <c r="B27" s="209" t="n">
        <v>400</v>
      </c>
      <c r="C27" s="210">
        <f>$B$12*B27</f>
        <v/>
      </c>
      <c r="D27" s="211">
        <f>C27*$B$20</f>
        <v/>
      </c>
      <c r="E27" s="211">
        <f>B27*$B$11*$B$10</f>
        <v/>
      </c>
      <c r="F27" s="211">
        <f>D27+E27</f>
        <v/>
      </c>
      <c r="G27" s="212">
        <f>F27-$B$13</f>
        <v/>
      </c>
    </row>
    <row r="28" ht="36" customHeight="1" s="178">
      <c r="A28" s="213" t="inlineStr">
        <is>
          <t>C — Tahoe+Reno+SF
(Pro at scale)</t>
        </is>
      </c>
      <c r="B28" s="214" t="n">
        <v>600</v>
      </c>
      <c r="C28" s="215">
        <f>$B$12*B28</f>
        <v/>
      </c>
      <c r="D28" s="216">
        <f>C28*$B$20</f>
        <v/>
      </c>
      <c r="E28" s="216">
        <f>B28*$B$11*$B$10</f>
        <v/>
      </c>
      <c r="F28" s="216">
        <f>D28+E28</f>
        <v/>
      </c>
      <c r="G28" s="199">
        <f>F28-$B$13</f>
        <v/>
      </c>
    </row>
    <row r="29" ht="36" customHeight="1" s="178">
      <c r="A29" s="217" t="inlineStr">
        <is>
          <t>D — Multi-market
(full Pro adoption)</t>
        </is>
      </c>
      <c r="B29" s="218" t="n">
        <v>900</v>
      </c>
      <c r="C29" s="219">
        <f>$B$12*B29</f>
        <v/>
      </c>
      <c r="D29" s="191">
        <f>C29*$B$20</f>
        <v/>
      </c>
      <c r="E29" s="191">
        <f>B29*$B$11*$B$10</f>
        <v/>
      </c>
      <c r="F29" s="191">
        <f>D29+E29</f>
        <v/>
      </c>
      <c r="G29" s="220">
        <f>F29-$B$13</f>
        <v/>
      </c>
    </row>
    <row r="30" ht="21.75" customHeight="1" s="178">
      <c r="A30" s="221" t="inlineStr">
        <is>
          <t>🎯  TARGET: $50,000/month profit</t>
        </is>
      </c>
      <c r="B30" s="200" t="n"/>
      <c r="C30" s="200" t="n"/>
      <c r="D30" s="200" t="n"/>
      <c r="E30" s="200" t="n"/>
      <c r="F30" s="200" t="n"/>
      <c r="G30" s="222">
        <f>50000</f>
        <v/>
      </c>
    </row>
    <row r="32" ht="15" customHeight="1" s="178">
      <c r="A32" s="181" t="inlineStr">
        <is>
          <t>REVERSE SOLVER — Exact user count needed for $50K/month</t>
        </is>
      </c>
    </row>
    <row r="33" ht="15" customHeight="1" s="178">
      <c r="A33" s="223" t="inlineStr">
        <is>
          <t>Metric</t>
        </is>
      </c>
      <c r="B33" s="223" t="inlineStr">
        <is>
          <t>Transactions Only</t>
        </is>
      </c>
      <c r="C33" s="223" t="inlineStr">
        <is>
          <t>+ Some Pro (65%)</t>
        </is>
      </c>
      <c r="D33" s="223" t="inlineStr">
        <is>
          <t>Notes</t>
        </is>
      </c>
      <c r="E33" s="183" t="n"/>
      <c r="F33" s="183" t="n"/>
      <c r="G33" s="224" t="n"/>
    </row>
    <row r="34" ht="18" customHeight="1" s="178">
      <c r="A34" s="184" t="inlineStr">
        <is>
          <t>Net per booking ($)</t>
        </is>
      </c>
      <c r="B34" s="196">
        <f>$B$20</f>
        <v/>
      </c>
      <c r="C34" s="196">
        <f>$B$20</f>
        <v/>
      </c>
      <c r="D34" s="182" t="inlineStr">
        <is>
          <t>Auto-calculated above</t>
        </is>
      </c>
      <c r="E34" s="183" t="n"/>
      <c r="F34" s="183" t="n"/>
      <c r="G34" s="183" t="n"/>
    </row>
    <row r="35" ht="18" customHeight="1" s="178">
      <c r="A35" s="225" t="inlineStr">
        <is>
          <t>Monthly Pro revenue at target</t>
        </is>
      </c>
      <c r="B35" s="226">
        <f>0</f>
        <v/>
      </c>
      <c r="C35" s="226">
        <f>50000*0.2</f>
        <v/>
      </c>
      <c r="D35" s="182" t="inlineStr">
        <is>
          <t>Assume Pro covers 20% of target in mix scenario</t>
        </is>
      </c>
      <c r="E35" s="183" t="n"/>
      <c r="F35" s="183" t="n"/>
      <c r="G35" s="183" t="n"/>
    </row>
    <row r="36" ht="18" customHeight="1" s="178">
      <c r="A36" s="184" t="inlineStr">
        <is>
          <t>Bookings needed from txns</t>
        </is>
      </c>
      <c r="B36" s="227">
        <f>IFERROR(50000/B34,0)</f>
        <v/>
      </c>
      <c r="C36" s="227">
        <f>IFERROR((50000-C35)/B34,0)</f>
        <v/>
      </c>
      <c r="D36" s="182" t="inlineStr">
        <is>
          <t>Total bookings required</t>
        </is>
      </c>
      <c r="E36" s="183" t="n"/>
      <c r="F36" s="183" t="n"/>
      <c r="G36" s="183" t="n"/>
    </row>
    <row r="37" ht="18" customHeight="1" s="178">
      <c r="A37" s="225" t="inlineStr">
        <is>
          <t>Creators needed</t>
        </is>
      </c>
      <c r="B37" s="226">
        <f>IFERROR(B36/$B$12,0)</f>
        <v/>
      </c>
      <c r="C37" s="226">
        <f>IFERROR(C36/$B$12,0)</f>
        <v/>
      </c>
      <c r="D37" s="182" t="inlineStr">
        <is>
          <t>At avg bookings/creator assumption</t>
        </is>
      </c>
      <c r="E37" s="183" t="n"/>
      <c r="F37" s="183" t="n"/>
      <c r="G37" s="183" t="n"/>
    </row>
    <row r="38" ht="18" customHeight="1" s="178">
      <c r="A38" s="184" t="inlineStr">
        <is>
          <t>Creator Pro paying creators</t>
        </is>
      </c>
      <c r="B38" s="227">
        <f>0</f>
        <v/>
      </c>
      <c r="C38" s="227">
        <f>IFERROR(C35/$B$10,0)</f>
        <v/>
      </c>
      <c r="D38" s="182" t="inlineStr">
        <is>
          <t>Revenue ÷ Pro price</t>
        </is>
      </c>
      <c r="E38" s="183" t="n"/>
      <c r="F38" s="183" t="n"/>
      <c r="G38" s="183" t="n"/>
    </row>
    <row r="39" ht="18" customHeight="1" s="178">
      <c r="A39" s="225" t="inlineStr">
        <is>
          <t>Total creators on platform</t>
        </is>
      </c>
      <c r="B39" s="226">
        <f>B37</f>
        <v/>
      </c>
      <c r="C39" s="226">
        <f>MAX(C37,C38)</f>
        <v/>
      </c>
      <c r="D39" s="182" t="inlineStr">
        <is>
          <t>Larger of needed for bookings vs Pro</t>
        </is>
      </c>
      <c r="E39" s="183" t="n"/>
      <c r="F39" s="183" t="n"/>
      <c r="G39" s="183" t="n"/>
    </row>
    <row r="40" ht="18" customHeight="1" s="178">
      <c r="A40" s="228" t="inlineStr">
        <is>
          <t>Clients (est. 8:1 ratio)</t>
        </is>
      </c>
      <c r="B40" s="229">
        <f>B39*8</f>
        <v/>
      </c>
      <c r="C40" s="229">
        <f>C39*8</f>
        <v/>
      </c>
      <c r="D40" s="182" t="inlineStr">
        <is>
          <t>8 clients per creator is realistic for local marketplace</t>
        </is>
      </c>
      <c r="E40" s="183" t="n"/>
      <c r="F40" s="183" t="n"/>
      <c r="G40" s="183" t="n"/>
    </row>
    <row r="41" ht="18" customHeight="1" s="178">
      <c r="A41" s="230" t="inlineStr">
        <is>
          <t>Total MAU (creators+clients)</t>
        </is>
      </c>
      <c r="B41" s="231">
        <f>B39+B40</f>
        <v/>
      </c>
      <c r="C41" s="231">
        <f>C39+C40</f>
        <v/>
      </c>
      <c r="D41" s="182" t="inlineStr">
        <is>
          <t>Monthly active users estimate</t>
        </is>
      </c>
      <c r="E41" s="183" t="n"/>
      <c r="F41" s="183" t="n"/>
      <c r="G41" s="183" t="n"/>
    </row>
    <row r="42" ht="18" customHeight="1" s="178">
      <c r="A42" s="228" t="inlineStr">
        <is>
          <t>Expansion needed?</t>
        </is>
      </c>
      <c r="B42" s="229">
        <f>IF(B39&gt;150,"Yes — expand markets","Tahoe only")</f>
        <v/>
      </c>
      <c r="C42" s="229">
        <f>IF(C39&gt;150,"Yes — expand markets","Tahoe only")</f>
        <v/>
      </c>
      <c r="D42" s="182" t="inlineStr">
        <is>
          <t>Tahoe market realistically supports ~150 active creators</t>
        </is>
      </c>
      <c r="E42" s="183" t="n"/>
      <c r="F42" s="183" t="n"/>
      <c r="G42" s="183" t="n"/>
    </row>
    <row r="46" ht="15" customHeight="1" s="178">
      <c r="A46" s="189" t="inlineStr">
        <is>
          <t>MARKET EXPANSION ROADMAP TO $50K</t>
        </is>
      </c>
    </row>
    <row r="47" ht="15" customHeight="1" s="178">
      <c r="A47" s="232" t="inlineStr">
        <is>
          <t>Phase</t>
        </is>
      </c>
      <c r="B47" s="232" t="inlineStr">
        <is>
          <t>Market</t>
        </is>
      </c>
      <c r="C47" s="232" t="inlineStr">
        <is>
          <t>Target Creators</t>
        </is>
      </c>
      <c r="D47" s="232" t="inlineStr">
        <is>
          <t>Target Bookings/mo</t>
        </is>
      </c>
      <c r="E47" s="232" t="inlineStr">
        <is>
          <t>Est. Monthly Revenue</t>
        </is>
      </c>
      <c r="F47" s="232" t="inlineStr">
        <is>
          <t>Cumulative Revenue</t>
        </is>
      </c>
      <c r="G47" s="232" t="inlineStr">
        <is>
          <t>Timeline</t>
        </is>
      </c>
    </row>
    <row r="48" ht="21.75" customHeight="1" s="178">
      <c r="A48" s="233" t="inlineStr">
        <is>
          <t>Phase 1</t>
        </is>
      </c>
      <c r="B48" s="193" t="inlineStr">
        <is>
          <t>Lake Tahoe / Truckee</t>
        </is>
      </c>
      <c r="C48" s="204" t="n">
        <v>25</v>
      </c>
      <c r="D48" s="205">
        <f>C48*$B$12</f>
        <v/>
      </c>
      <c r="E48" s="207">
        <f>C48*$B$12*$B$20</f>
        <v/>
      </c>
      <c r="F48" s="206">
        <f>E48</f>
        <v/>
      </c>
      <c r="G48" s="193" t="inlineStr">
        <is>
          <t>Now → 6 mo</t>
        </is>
      </c>
    </row>
    <row r="49" ht="21.75" customHeight="1" s="178">
      <c r="A49" s="234" t="inlineStr">
        <is>
          <t>Phase 2</t>
        </is>
      </c>
      <c r="B49" s="235" t="inlineStr">
        <is>
          <t>+ Reno / Carson City</t>
        </is>
      </c>
      <c r="C49" s="209" t="n">
        <v>75</v>
      </c>
      <c r="D49" s="210">
        <f>C49*$B$12</f>
        <v/>
      </c>
      <c r="E49" s="212">
        <f>C49*$B$12*$B$20+C49*$B$11*$B$10</f>
        <v/>
      </c>
      <c r="F49" s="211">
        <f>E48+E49</f>
        <v/>
      </c>
      <c r="G49" s="235" t="inlineStr">
        <is>
          <t>6 → 12 mo</t>
        </is>
      </c>
    </row>
    <row r="50" ht="21.75" customHeight="1" s="178">
      <c r="A50" s="198" t="inlineStr">
        <is>
          <t>Phase 3</t>
        </is>
      </c>
      <c r="B50" s="236" t="inlineStr">
        <is>
          <t>+ SF Bay Area</t>
        </is>
      </c>
      <c r="C50" s="214" t="n">
        <v>200</v>
      </c>
      <c r="D50" s="215">
        <f>C50*$B$12</f>
        <v/>
      </c>
      <c r="E50" s="199">
        <f>C50*$B$12*$B$20+C50*$B$11*$B$10</f>
        <v/>
      </c>
      <c r="F50" s="216">
        <f>E49+E50</f>
        <v/>
      </c>
      <c r="G50" s="236" t="inlineStr">
        <is>
          <t>12 → 18 mo</t>
        </is>
      </c>
    </row>
    <row r="51" ht="21.75" customHeight="1" s="178">
      <c r="A51" s="237" t="inlineStr">
        <is>
          <t>Phase 4</t>
        </is>
      </c>
      <c r="B51" s="190" t="inlineStr">
        <is>
          <t>+ Portland / Seattle / Denver</t>
        </is>
      </c>
      <c r="C51" s="218" t="n">
        <v>500</v>
      </c>
      <c r="D51" s="219">
        <f>C51*$B$12</f>
        <v/>
      </c>
      <c r="E51" s="220">
        <f>C51*$B$12*$B$20+C51*$B$11*$B$10</f>
        <v/>
      </c>
      <c r="F51" s="191">
        <f>E50+E51</f>
        <v/>
      </c>
      <c r="G51" s="190" t="inlineStr">
        <is>
          <t>18 → 30 mo</t>
        </is>
      </c>
    </row>
    <row r="52" ht="21.75" customHeight="1" s="178">
      <c r="A52" s="238" t="inlineStr">
        <is>
          <t>Phase 5</t>
        </is>
      </c>
      <c r="B52" s="239" t="inlineStr">
        <is>
          <t>National — All major ski markets</t>
        </is>
      </c>
      <c r="C52" s="240" t="n">
        <v>900</v>
      </c>
      <c r="D52" s="241">
        <f>C52*$B$12</f>
        <v/>
      </c>
      <c r="E52" s="242">
        <f>C52*$B$12*$B$20+C52*$B$11*$B$10</f>
        <v/>
      </c>
      <c r="F52" s="243">
        <f>E51+E52</f>
        <v/>
      </c>
      <c r="G52" s="239" t="inlineStr">
        <is>
          <t>30+ mo</t>
        </is>
      </c>
    </row>
    <row r="54" ht="21.75" customHeight="1" s="178">
      <c r="A54" s="244" t="inlineStr">
        <is>
          <t>💡  $50K/month is realistically achievable at Phase 4-5 without geographic expansion, or Phase 3 with strong Pro adoption.</t>
        </is>
      </c>
      <c r="B54" s="183" t="n"/>
      <c r="C54" s="183" t="n"/>
      <c r="D54" s="183" t="n"/>
      <c r="E54" s="183" t="n"/>
      <c r="F54" s="183" t="n"/>
      <c r="G54" s="224" t="n"/>
    </row>
  </sheetData>
  <mergeCells count="29">
    <mergeCell ref="A32:G32"/>
    <mergeCell ref="C6:G6"/>
    <mergeCell ref="D39:G39"/>
    <mergeCell ref="C5:G5"/>
    <mergeCell ref="D33:G33"/>
    <mergeCell ref="D42:G42"/>
    <mergeCell ref="D38:G38"/>
    <mergeCell ref="D35:G35"/>
    <mergeCell ref="C10:G10"/>
    <mergeCell ref="A24:G24"/>
    <mergeCell ref="A23:G23"/>
    <mergeCell ref="A15:G15"/>
    <mergeCell ref="D34:G34"/>
    <mergeCell ref="A4:C4"/>
    <mergeCell ref="C9:G9"/>
    <mergeCell ref="D40:G40"/>
    <mergeCell ref="A1:G1"/>
    <mergeCell ref="C12:G12"/>
    <mergeCell ref="D36:G36"/>
    <mergeCell ref="C11:G11"/>
    <mergeCell ref="A54:G54"/>
    <mergeCell ref="C8:G8"/>
    <mergeCell ref="A46:G46"/>
    <mergeCell ref="D41:G41"/>
    <mergeCell ref="C7:G7"/>
    <mergeCell ref="A2:G2"/>
    <mergeCell ref="C13:G13"/>
    <mergeCell ref="D37:G37"/>
    <mergeCell ref="D4:G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19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8" customWidth="1" style="177" min="1" max="1"/>
    <col width="18" customWidth="1" style="177" min="2" max="5"/>
    <col width="22" customWidth="1" style="177" min="6" max="6"/>
  </cols>
  <sheetData>
    <row r="1" ht="39.75" customHeight="1" s="178">
      <c r="A1" s="245" t="inlineStr">
        <is>
          <t>SHUTTER — Financial Dashboard</t>
        </is>
      </c>
    </row>
    <row r="2" ht="21.75" customHeight="1" s="178">
      <c r="A2" s="246" t="inlineStr">
        <is>
          <t>April 2026  |  Stage 1: Pre-Revenue  |  Founder: Patrick Yun</t>
        </is>
      </c>
    </row>
    <row r="4" ht="18" customHeight="1" s="178">
      <c r="A4" s="247" t="inlineStr">
        <is>
          <t>Monthly Infra Cost</t>
        </is>
      </c>
      <c r="B4" s="247" t="inlineStr">
        <is>
          <t>Annual LLC Tax</t>
        </is>
      </c>
      <c r="C4" s="247" t="inlineStr">
        <is>
          <t>Stripe per $1K</t>
        </is>
      </c>
      <c r="D4" s="247" t="inlineStr">
        <is>
          <t>Tax Reserve %</t>
        </is>
      </c>
      <c r="E4" s="247" t="inlineStr">
        <is>
          <t>Break-even Bookings</t>
        </is>
      </c>
      <c r="F4" s="248" t="n"/>
    </row>
    <row r="5" ht="31.5" customHeight="1" s="178">
      <c r="A5" s="249">
        <f>Infrastructure!B22</f>
        <v/>
      </c>
      <c r="B5" s="250">
        <f>'Tax Planning'!C6</f>
        <v/>
      </c>
      <c r="C5" s="251">
        <f>'Stripe Fees'!C8</f>
        <v/>
      </c>
      <c r="D5" s="252">
        <f>'Tax Planning'!C20</f>
        <v/>
      </c>
      <c r="E5" s="253">
        <f>'Revenue Model'!B42</f>
        <v/>
      </c>
      <c r="F5" s="248" t="n"/>
    </row>
    <row r="6" ht="19.5" customHeight="1" s="178">
      <c r="A6" s="254" t="inlineStr">
        <is>
          <t>(linked)</t>
        </is>
      </c>
      <c r="B6" s="255" t="inlineStr">
        <is>
          <t>(linked)</t>
        </is>
      </c>
      <c r="C6" s="256" t="inlineStr">
        <is>
          <t>(linked)</t>
        </is>
      </c>
      <c r="D6" s="257" t="inlineStr">
        <is>
          <t>(linked)</t>
        </is>
      </c>
      <c r="E6" s="258" t="inlineStr">
        <is>
          <t>(linked)</t>
        </is>
      </c>
      <c r="F6" s="248" t="n"/>
    </row>
    <row r="7" ht="18" customHeight="1" s="178"/>
    <row r="8" ht="15" customHeight="1" s="178">
      <c r="A8" s="259" t="inlineStr">
        <is>
          <t>STAGE OVERVIEW</t>
        </is>
      </c>
    </row>
    <row r="9" ht="15" customHeight="1" s="178">
      <c r="A9" s="260" t="inlineStr">
        <is>
          <t>Stage</t>
        </is>
      </c>
      <c r="B9" s="260" t="inlineStr">
        <is>
          <t>Users</t>
        </is>
      </c>
      <c r="C9" s="260" t="inlineStr">
        <is>
          <t>Est. Monthly Cost</t>
        </is>
      </c>
      <c r="D9" s="260" t="inlineStr">
        <is>
          <t>Monthly Revenue</t>
        </is>
      </c>
      <c r="E9" s="260" t="inlineStr">
        <is>
          <t>Status</t>
        </is>
      </c>
      <c r="F9" s="260" t="inlineStr">
        <is>
          <t>Notes</t>
        </is>
      </c>
    </row>
    <row r="10" ht="36" customHeight="1" s="178">
      <c r="A10" s="261" t="inlineStr">
        <is>
          <t>Stage 1 — Pre-Revenue</t>
        </is>
      </c>
      <c r="B10" s="262" t="inlineStr">
        <is>
          <t>0 – 500</t>
        </is>
      </c>
      <c r="C10" s="262" t="inlineStr">
        <is>
          <t>$0 – $20</t>
        </is>
      </c>
      <c r="D10" s="262" t="inlineStr">
        <is>
          <t>$0</t>
        </is>
      </c>
      <c r="E10" s="262" t="inlineStr">
        <is>
          <t>✅ Current</t>
        </is>
      </c>
      <c r="F10" s="262" t="inlineStr">
        <is>
          <t>All services on free tiers. Only cost: Apple Dev $99/yr if pursuing App Store.</t>
        </is>
      </c>
    </row>
    <row r="11" ht="36" customHeight="1" s="178">
      <c r="A11" s="263" t="inlineStr">
        <is>
          <t>Stage 2 — Early Traction</t>
        </is>
      </c>
      <c r="B11" s="264" t="inlineStr">
        <is>
          <t>500 – 2,000</t>
        </is>
      </c>
      <c r="C11" s="264" t="inlineStr">
        <is>
          <t>$65 – $150</t>
        </is>
      </c>
      <c r="D11" s="264" t="inlineStr">
        <is>
          <t>$500 – $5K</t>
        </is>
      </c>
      <c r="E11" s="264" t="inlineStr">
        <is>
          <t>⏳ Next</t>
        </is>
      </c>
      <c r="F11" s="264" t="inlineStr">
        <is>
          <t>Netlify Pro, Supabase Pro, Resend paid kick in.</t>
        </is>
      </c>
    </row>
    <row r="12" ht="36" customHeight="1" s="178">
      <c r="A12" s="265" t="inlineStr">
        <is>
          <t>Stage 3 — Scale</t>
        </is>
      </c>
      <c r="B12" s="266" t="inlineStr">
        <is>
          <t>2,000+</t>
        </is>
      </c>
      <c r="C12" s="266" t="inlineStr">
        <is>
          <t>$300 – $500</t>
        </is>
      </c>
      <c r="D12" s="266" t="inlineStr">
        <is>
          <t>$10K+</t>
        </is>
      </c>
      <c r="E12" s="266" t="inlineStr">
        <is>
          <t>🔮 Future</t>
        </is>
      </c>
      <c r="F12" s="266" t="inlineStr">
        <is>
          <t>Add accounting SW, bookkeeper, higher Mapbox usage.</t>
        </is>
      </c>
    </row>
    <row r="14" ht="15" customHeight="1" s="178">
      <c r="A14" s="267" t="inlineStr">
        <is>
          <t>SHEET GUIDE</t>
        </is>
      </c>
    </row>
    <row r="15" ht="15" customHeight="1" s="178">
      <c r="A15" s="260" t="inlineStr">
        <is>
          <t>Sheet</t>
        </is>
      </c>
      <c r="B15" s="268" t="inlineStr">
        <is>
          <t>Description</t>
        </is>
      </c>
      <c r="C15" s="183" t="n"/>
      <c r="D15" s="183" t="n"/>
      <c r="E15" s="183" t="n"/>
      <c r="F15" s="224" t="n"/>
    </row>
    <row r="16" ht="15" customHeight="1" s="178">
      <c r="A16" s="269" t="inlineStr">
        <is>
          <t>Infrastructure</t>
        </is>
      </c>
      <c r="B16" s="270" t="inlineStr">
        <is>
          <t>Monthly &amp; annual cost breakdown across all 3 stages</t>
        </is>
      </c>
      <c r="C16" s="183" t="n"/>
      <c r="D16" s="183" t="n"/>
      <c r="E16" s="183" t="n"/>
      <c r="F16" s="183" t="n"/>
    </row>
    <row r="17" ht="15" customHeight="1" s="178">
      <c r="A17" s="269" t="inlineStr">
        <is>
          <t>Revenue Model</t>
        </is>
      </c>
      <c r="B17" s="270" t="inlineStr">
        <is>
          <t>Creator count + booking frequency → projected revenue (24 months)</t>
        </is>
      </c>
      <c r="C17" s="183" t="n"/>
      <c r="D17" s="183" t="n"/>
      <c r="E17" s="183" t="n"/>
      <c r="F17" s="183" t="n"/>
    </row>
    <row r="18" ht="15" customHeight="1" s="178">
      <c r="A18" s="269" t="inlineStr">
        <is>
          <t>Stripe Fees</t>
        </is>
      </c>
      <c r="B18" s="270" t="inlineStr">
        <is>
          <t>Net revenue per booking after Stripe 2.9% + $0.30 per transaction</t>
        </is>
      </c>
      <c r="C18" s="183" t="n"/>
      <c r="D18" s="183" t="n"/>
      <c r="E18" s="183" t="n"/>
      <c r="F18" s="183" t="n"/>
    </row>
    <row r="19" ht="15" customHeight="1" s="178">
      <c r="A19" s="269" t="inlineStr">
        <is>
          <t>Tax Planning</t>
        </is>
      </c>
      <c r="B19" s="270" t="inlineStr">
        <is>
          <t>CA LLC tax, self-employment, income tax, quarterly estimates</t>
        </is>
      </c>
      <c r="C19" s="183" t="n"/>
      <c r="D19" s="183" t="n"/>
      <c r="E19" s="183" t="n"/>
      <c r="F19" s="183" t="n"/>
    </row>
  </sheetData>
  <mergeCells count="9">
    <mergeCell ref="A2:F2"/>
    <mergeCell ref="B16:F16"/>
    <mergeCell ref="A14:F14"/>
    <mergeCell ref="B15:F15"/>
    <mergeCell ref="A1:F1"/>
    <mergeCell ref="B19:F19"/>
    <mergeCell ref="A8:F8"/>
    <mergeCell ref="B17:F17"/>
    <mergeCell ref="B18:F1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E3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6" customWidth="1" style="177" min="1" max="1"/>
    <col width="16" customWidth="1" style="177" min="2" max="2"/>
    <col width="14" customWidth="1" style="177" min="3" max="3"/>
    <col width="16" customWidth="1" style="177" min="4" max="4"/>
    <col width="30" customWidth="1" style="177" min="5" max="5"/>
  </cols>
  <sheetData>
    <row r="1" ht="17.25" customHeight="1" s="178">
      <c r="A1" s="271" t="inlineStr">
        <is>
          <t>Infrastructure &amp; Operating Costs</t>
        </is>
      </c>
    </row>
    <row r="2" ht="15" customHeight="1" s="178">
      <c r="A2" s="272" t="inlineStr">
        <is>
          <t>Blue = input (change these)  |  Black = formula  |  All costs in USD</t>
        </is>
      </c>
    </row>
    <row r="3" ht="15" customHeight="1" s="178">
      <c r="A3" s="260" t="inlineStr">
        <is>
          <t>Service</t>
        </is>
      </c>
      <c r="B3" s="260" t="inlineStr">
        <is>
          <t>Monthly Cost ($)</t>
        </is>
      </c>
      <c r="C3" s="260" t="inlineStr">
        <is>
          <t>Frequency</t>
        </is>
      </c>
      <c r="D3" s="260" t="inlineStr">
        <is>
          <t>Annual Cost ($)</t>
        </is>
      </c>
      <c r="E3" s="260" t="inlineStr">
        <is>
          <t>Notes</t>
        </is>
      </c>
    </row>
    <row r="4" ht="15" customHeight="1" s="178">
      <c r="A4" s="273" t="inlineStr">
        <is>
          <t>STAGE 1 — Pre-Revenue (0–500 users)</t>
        </is>
      </c>
    </row>
    <row r="5" ht="18" customHeight="1" s="178">
      <c r="A5" s="225" t="inlineStr">
        <is>
          <t>Netlify</t>
        </is>
      </c>
      <c r="B5" s="274" t="n">
        <v>0</v>
      </c>
      <c r="C5" s="225" t="inlineStr">
        <is>
          <t>monthly</t>
        </is>
      </c>
      <c r="D5" s="275">
        <f>B5*12</f>
        <v/>
      </c>
      <c r="E5" s="276" t="inlineStr">
        <is>
          <t>Free tier (100GB BW, 300 build min)</t>
        </is>
      </c>
    </row>
    <row r="6" ht="18" customHeight="1" s="178">
      <c r="A6" s="225" t="inlineStr">
        <is>
          <t>Supabase</t>
        </is>
      </c>
      <c r="B6" s="274" t="n">
        <v>0</v>
      </c>
      <c r="C6" s="225" t="inlineStr">
        <is>
          <t>monthly</t>
        </is>
      </c>
      <c r="D6" s="275">
        <f>B6*12</f>
        <v/>
      </c>
      <c r="E6" s="276" t="inlineStr">
        <is>
          <t>Free tier (500MB DB, 1GB storage, 50k auth users)</t>
        </is>
      </c>
    </row>
    <row r="7" ht="18" customHeight="1" s="178">
      <c r="A7" s="225" t="inlineStr">
        <is>
          <t>Mapbox</t>
        </is>
      </c>
      <c r="B7" s="274" t="n">
        <v>0</v>
      </c>
      <c r="C7" s="225" t="inlineStr">
        <is>
          <t>monthly</t>
        </is>
      </c>
      <c r="D7" s="275">
        <f>B7*12</f>
        <v/>
      </c>
      <c r="E7" s="276" t="inlineStr">
        <is>
          <t>Free tier (50k map loads/mo)</t>
        </is>
      </c>
    </row>
    <row r="8" ht="18" customHeight="1" s="178">
      <c r="A8" s="225" t="inlineStr">
        <is>
          <t>Resend</t>
        </is>
      </c>
      <c r="B8" s="274" t="n">
        <v>0</v>
      </c>
      <c r="C8" s="225" t="inlineStr">
        <is>
          <t>monthly</t>
        </is>
      </c>
      <c r="D8" s="275">
        <f>B8*12</f>
        <v/>
      </c>
      <c r="E8" s="276" t="inlineStr">
        <is>
          <t>Free tier (100 emails/day)</t>
        </is>
      </c>
    </row>
    <row r="9" ht="18" customHeight="1" s="178">
      <c r="A9" s="225" t="inlineStr">
        <is>
          <t>Apple Dev</t>
        </is>
      </c>
      <c r="B9" s="274" t="n">
        <v>8.25</v>
      </c>
      <c r="C9" s="225" t="inlineStr">
        <is>
          <t>monthly</t>
        </is>
      </c>
      <c r="D9" s="275">
        <f>B9*12</f>
        <v/>
      </c>
      <c r="E9" s="276" t="inlineStr">
        <is>
          <t>$99/yr — only if pursuing App Store</t>
        </is>
      </c>
    </row>
    <row r="10" ht="18" customHeight="1" s="178">
      <c r="A10" s="225" t="inlineStr">
        <is>
          <t>Domain (est.)</t>
        </is>
      </c>
      <c r="B10" s="274" t="n">
        <v>1.25</v>
      </c>
      <c r="C10" s="225" t="inlineStr">
        <is>
          <t>monthly</t>
        </is>
      </c>
      <c r="D10" s="275">
        <f>B10*12</f>
        <v/>
      </c>
      <c r="E10" s="276" t="inlineStr">
        <is>
          <t>~$15/yr at Namecheap/Cloudflare — after brand name locked</t>
        </is>
      </c>
    </row>
    <row r="11" ht="19.5" customHeight="1" s="178">
      <c r="A11" s="237" t="inlineStr">
        <is>
          <t>STAGE 1 TOTAL</t>
        </is>
      </c>
      <c r="B11" s="277">
        <f>SUM(B5:B10)</f>
        <v/>
      </c>
      <c r="C11" s="190" t="n"/>
      <c r="D11" s="277">
        <f>SUM(D5:D10)</f>
        <v/>
      </c>
      <c r="E11" s="276" t="inlineStr">
        <is>
          <t>Source: Netlify/Supabase/Mapbox/Resend pricing pages, April 2026</t>
        </is>
      </c>
    </row>
    <row r="13" ht="15" customHeight="1" s="178">
      <c r="A13" s="278" t="inlineStr">
        <is>
          <t>STAGE 2 — Early Traction (500–2,000 users)</t>
        </is>
      </c>
    </row>
    <row r="14" ht="18" customHeight="1" s="178">
      <c r="A14" s="225" t="inlineStr">
        <is>
          <t>Netlify Pro</t>
        </is>
      </c>
      <c r="B14" s="274" t="n">
        <v>19</v>
      </c>
      <c r="C14" s="225" t="inlineStr">
        <is>
          <t>monthly</t>
        </is>
      </c>
      <c r="D14" s="275">
        <f>B14*12</f>
        <v/>
      </c>
      <c r="E14" s="276" t="inlineStr">
        <is>
          <t>$19/mo — custom domain, analytics, more bandwidth</t>
        </is>
      </c>
    </row>
    <row r="15" ht="18" customHeight="1" s="178">
      <c r="A15" s="225" t="inlineStr">
        <is>
          <t>Supabase Pro</t>
        </is>
      </c>
      <c r="B15" s="274" t="n">
        <v>25</v>
      </c>
      <c r="C15" s="225" t="inlineStr">
        <is>
          <t>monthly</t>
        </is>
      </c>
      <c r="D15" s="275">
        <f>B15*12</f>
        <v/>
      </c>
      <c r="E15" s="276" t="inlineStr">
        <is>
          <t>$25/mo — hits at ~500MB storage from portfolio photos</t>
        </is>
      </c>
    </row>
    <row r="16" ht="18" customHeight="1" s="178">
      <c r="A16" s="225" t="inlineStr">
        <is>
          <t>Mapbox</t>
        </is>
      </c>
      <c r="B16" s="274" t="n">
        <v>10</v>
      </c>
      <c r="C16" s="225" t="inlineStr">
        <is>
          <t>monthly</t>
        </is>
      </c>
      <c r="D16" s="275">
        <f>B16*12</f>
        <v/>
      </c>
      <c r="E16" s="276" t="inlineStr">
        <is>
          <t>Est. $10/mo at moderate traffic (above 50k loads)</t>
        </is>
      </c>
    </row>
    <row r="17" ht="18" customHeight="1" s="178">
      <c r="A17" s="225" t="inlineStr">
        <is>
          <t>Resend</t>
        </is>
      </c>
      <c r="B17" s="274" t="n">
        <v>20</v>
      </c>
      <c r="C17" s="225" t="inlineStr">
        <is>
          <t>monthly</t>
        </is>
      </c>
      <c r="D17" s="275">
        <f>B17*12</f>
        <v/>
      </c>
      <c r="E17" s="276" t="inlineStr">
        <is>
          <t>$20/mo — up to 50k emails</t>
        </is>
      </c>
    </row>
    <row r="18" ht="18" customHeight="1" s="178">
      <c r="A18" s="225" t="inlineStr">
        <is>
          <t>Apple Dev</t>
        </is>
      </c>
      <c r="B18" s="274" t="n">
        <v>8.25</v>
      </c>
      <c r="C18" s="225" t="inlineStr">
        <is>
          <t>monthly</t>
        </is>
      </c>
      <c r="D18" s="275">
        <f>B18*12</f>
        <v/>
      </c>
      <c r="E18" s="276" t="inlineStr">
        <is>
          <t>$99/yr — App Store</t>
        </is>
      </c>
    </row>
    <row r="19" ht="18" customHeight="1" s="178">
      <c r="A19" s="225" t="inlineStr">
        <is>
          <t>Domain</t>
        </is>
      </c>
      <c r="B19" s="274" t="n">
        <v>1.25</v>
      </c>
      <c r="C19" s="225" t="inlineStr">
        <is>
          <t>monthly</t>
        </is>
      </c>
      <c r="D19" s="275">
        <f>B19*12</f>
        <v/>
      </c>
      <c r="E19" s="276" t="inlineStr">
        <is>
          <t>~$15/yr</t>
        </is>
      </c>
    </row>
    <row r="20" ht="18" customHeight="1" s="178">
      <c r="A20" s="225" t="inlineStr">
        <is>
          <t>Misc / Buffer</t>
        </is>
      </c>
      <c r="B20" s="274" t="n">
        <v>15</v>
      </c>
      <c r="C20" s="225" t="inlineStr">
        <is>
          <t>monthly</t>
        </is>
      </c>
      <c r="D20" s="275">
        <f>B20*12</f>
        <v/>
      </c>
      <c r="E20" s="276" t="inlineStr">
        <is>
          <t>SMS, monitoring, small tools</t>
        </is>
      </c>
    </row>
    <row r="21" ht="19.5" customHeight="1" s="178">
      <c r="A21" s="234" t="inlineStr">
        <is>
          <t>STAGE 2 TOTAL</t>
        </is>
      </c>
      <c r="B21" s="279">
        <f>SUM(B14:B20)</f>
        <v/>
      </c>
      <c r="C21" s="235" t="n"/>
      <c r="D21" s="279">
        <f>SUM(D14:D20)</f>
        <v/>
      </c>
      <c r="E21" s="276" t="inlineStr">
        <is>
          <t>Source: Netlify/Supabase pricing pages, April 2026</t>
        </is>
      </c>
    </row>
    <row r="22" ht="15" customHeight="1" s="178">
      <c r="B22" s="280">
        <f>B11</f>
        <v/>
      </c>
    </row>
    <row r="23" ht="15" customHeight="1" s="178">
      <c r="A23" s="267" t="inlineStr">
        <is>
          <t>STAGE 3 — Scale (2,000+ users, $10K+/mo revenue)</t>
        </is>
      </c>
    </row>
    <row r="24" ht="18" customHeight="1" s="178">
      <c r="A24" s="225" t="inlineStr">
        <is>
          <t>Netlify Business</t>
        </is>
      </c>
      <c r="B24" s="274" t="n">
        <v>99</v>
      </c>
      <c r="C24" s="225" t="inlineStr">
        <is>
          <t>monthly</t>
        </is>
      </c>
      <c r="D24" s="275">
        <f>B24*12</f>
        <v/>
      </c>
      <c r="E24" s="276" t="inlineStr">
        <is>
          <t>$99/mo — team access, higher limits</t>
        </is>
      </c>
    </row>
    <row r="25" ht="18" customHeight="1" s="178">
      <c r="A25" s="225" t="inlineStr">
        <is>
          <t>Supabase Pro</t>
        </is>
      </c>
      <c r="B25" s="274" t="n">
        <v>25</v>
      </c>
      <c r="C25" s="225" t="inlineStr">
        <is>
          <t>monthly</t>
        </is>
      </c>
      <c r="D25" s="275">
        <f>B25*12</f>
        <v/>
      </c>
      <c r="E25" s="276" t="inlineStr">
        <is>
          <t>$25/mo + usage overage</t>
        </is>
      </c>
    </row>
    <row r="26" ht="18" customHeight="1" s="178">
      <c r="A26" s="225" t="inlineStr">
        <is>
          <t>Mapbox</t>
        </is>
      </c>
      <c r="B26" s="274" t="n">
        <v>100</v>
      </c>
      <c r="C26" s="225" t="inlineStr">
        <is>
          <t>monthly</t>
        </is>
      </c>
      <c r="D26" s="275">
        <f>B26*12</f>
        <v/>
      </c>
      <c r="E26" s="276" t="inlineStr">
        <is>
          <t>Est. $100/mo at high traffic</t>
        </is>
      </c>
    </row>
    <row r="27" ht="18" customHeight="1" s="178">
      <c r="A27" s="225" t="inlineStr">
        <is>
          <t>Resend</t>
        </is>
      </c>
      <c r="B27" s="274" t="n">
        <v>20</v>
      </c>
      <c r="C27" s="225" t="inlineStr">
        <is>
          <t>monthly</t>
        </is>
      </c>
      <c r="D27" s="275">
        <f>B27*12</f>
        <v/>
      </c>
      <c r="E27" s="276" t="inlineStr">
        <is>
          <t>$20/mo</t>
        </is>
      </c>
    </row>
    <row r="28" ht="18" customHeight="1" s="178">
      <c r="A28" s="225" t="inlineStr">
        <is>
          <t>Apple Dev</t>
        </is>
      </c>
      <c r="B28" s="274" t="n">
        <v>8.25</v>
      </c>
      <c r="C28" s="225" t="inlineStr">
        <is>
          <t>monthly</t>
        </is>
      </c>
      <c r="D28" s="275">
        <f>B28*12</f>
        <v/>
      </c>
      <c r="E28" s="276" t="inlineStr">
        <is>
          <t>$99/yr</t>
        </is>
      </c>
    </row>
    <row r="29" ht="18" customHeight="1" s="178">
      <c r="A29" s="225" t="inlineStr">
        <is>
          <t>Domain</t>
        </is>
      </c>
      <c r="B29" s="274" t="n">
        <v>1.25</v>
      </c>
      <c r="C29" s="225" t="inlineStr">
        <is>
          <t>monthly</t>
        </is>
      </c>
      <c r="D29" s="275">
        <f>B29*12</f>
        <v/>
      </c>
      <c r="E29" s="276" t="inlineStr">
        <is>
          <t>~$15/yr</t>
        </is>
      </c>
    </row>
    <row r="30" ht="18" customHeight="1" s="178">
      <c r="A30" s="225" t="inlineStr">
        <is>
          <t>Accounting SW</t>
        </is>
      </c>
      <c r="B30" s="274" t="n">
        <v>15</v>
      </c>
      <c r="C30" s="225" t="inlineStr">
        <is>
          <t>monthly</t>
        </is>
      </c>
      <c r="D30" s="275">
        <f>B30*12</f>
        <v/>
      </c>
      <c r="E30" s="276" t="inlineStr">
        <is>
          <t>QuickBooks Self-Employed</t>
        </is>
      </c>
    </row>
    <row r="31" ht="18" customHeight="1" s="178">
      <c r="A31" s="225" t="inlineStr">
        <is>
          <t>Bookkeeper</t>
        </is>
      </c>
      <c r="B31" s="274" t="n">
        <v>300</v>
      </c>
      <c r="C31" s="225" t="inlineStr">
        <is>
          <t>monthly</t>
        </is>
      </c>
      <c r="D31" s="275">
        <f>B31*12</f>
        <v/>
      </c>
      <c r="E31" s="276" t="inlineStr">
        <is>
          <t>Part-time bookkeeper at scale</t>
        </is>
      </c>
    </row>
    <row r="32" ht="18" customHeight="1" s="178">
      <c r="A32" s="225" t="inlineStr">
        <is>
          <t>Legal / CPA</t>
        </is>
      </c>
      <c r="B32" s="274" t="n">
        <v>83</v>
      </c>
      <c r="C32" s="225" t="inlineStr">
        <is>
          <t>monthly</t>
        </is>
      </c>
      <c r="D32" s="275">
        <f>B32*12</f>
        <v/>
      </c>
      <c r="E32" s="276" t="inlineStr">
        <is>
          <t>~$1K/yr for annual tax prep</t>
        </is>
      </c>
    </row>
    <row r="33" ht="18" customHeight="1" s="178">
      <c r="A33" s="225" t="inlineStr">
        <is>
          <t>Misc / Buffer</t>
        </is>
      </c>
      <c r="B33" s="274" t="n">
        <v>50</v>
      </c>
      <c r="C33" s="225" t="inlineStr">
        <is>
          <t>monthly</t>
        </is>
      </c>
      <c r="D33" s="275">
        <f>B33*12</f>
        <v/>
      </c>
      <c r="E33" s="276" t="inlineStr">
        <is>
          <t>Monitoring, ops tools, misc</t>
        </is>
      </c>
    </row>
    <row r="34" ht="19.5" customHeight="1" s="178">
      <c r="A34" s="238" t="inlineStr">
        <is>
          <t>STAGE 3 TOTAL</t>
        </is>
      </c>
      <c r="B34" s="281">
        <f>SUM(B24:B33)</f>
        <v/>
      </c>
      <c r="C34" s="239" t="n"/>
      <c r="D34" s="281">
        <f>SUM(D24:D33)</f>
        <v/>
      </c>
    </row>
  </sheetData>
  <mergeCells count="5">
    <mergeCell ref="A4:E4"/>
    <mergeCell ref="A2:E2"/>
    <mergeCell ref="A1:E1"/>
    <mergeCell ref="A23:E23"/>
    <mergeCell ref="A13:E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4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6" customWidth="1" style="177" min="1" max="1"/>
    <col width="14" customWidth="1" style="177" min="2" max="7"/>
  </cols>
  <sheetData>
    <row r="1" ht="17.25" customHeight="1" s="178">
      <c r="A1" s="271" t="inlineStr">
        <is>
          <t>Revenue Model — 24-Month Projection</t>
        </is>
      </c>
    </row>
    <row r="3" ht="15" customHeight="1" s="178">
      <c r="A3" s="259" t="inlineStr">
        <is>
          <t>ASSUMPTIONS (blue = change these)</t>
        </is>
      </c>
    </row>
    <row r="4" ht="18" customHeight="1" s="178">
      <c r="A4" s="184" t="inlineStr">
        <is>
          <t>Average booking value ($)</t>
        </is>
      </c>
      <c r="B4" s="282" t="n">
        <v>1000</v>
      </c>
      <c r="C4" s="283" t="n"/>
    </row>
    <row r="5" ht="18" customHeight="1" s="178">
      <c r="A5" s="184" t="inlineStr">
        <is>
          <t>Platform commission rate (%)</t>
        </is>
      </c>
      <c r="B5" s="284" t="n">
        <v>0.08</v>
      </c>
      <c r="C5" s="283" t="n"/>
    </row>
    <row r="6" ht="18" customHeight="1" s="178">
      <c r="A6" s="184" t="inlineStr">
        <is>
          <t>Stripe fee rate (%)</t>
        </is>
      </c>
      <c r="B6" s="284" t="n">
        <v>0.029</v>
      </c>
      <c r="C6" s="283" t="n"/>
    </row>
    <row r="7" ht="18" customHeight="1" s="178">
      <c r="A7" s="184" t="inlineStr">
        <is>
          <t>Stripe fixed fee per txn ($)</t>
        </is>
      </c>
      <c r="B7" s="274" t="n">
        <v>0.3</v>
      </c>
      <c r="C7" s="283" t="n"/>
    </row>
    <row r="8" ht="18" customHeight="1" s="178">
      <c r="A8" s="184" t="inlineStr">
        <is>
          <t>Creators at Month 1</t>
        </is>
      </c>
      <c r="B8" s="285" t="n">
        <v>7</v>
      </c>
      <c r="C8" s="283" t="n"/>
    </row>
    <row r="9" ht="18" customHeight="1" s="178">
      <c r="A9" s="184" t="inlineStr">
        <is>
          <t>New creators added per month</t>
        </is>
      </c>
      <c r="B9" s="285" t="n">
        <v>2</v>
      </c>
      <c r="C9" s="283" t="n"/>
    </row>
    <row r="10" ht="18" customHeight="1" s="178">
      <c r="A10" s="184" t="inlineStr">
        <is>
          <t>Bookings per creator per month</t>
        </is>
      </c>
      <c r="B10" s="286" t="n">
        <v>0.5</v>
      </c>
      <c r="C10" s="283" t="n"/>
    </row>
    <row r="12" ht="15" customHeight="1" s="178">
      <c r="A12" s="267" t="inlineStr">
        <is>
          <t>MONTHLY PROJECTIONS</t>
        </is>
      </c>
    </row>
    <row r="13" ht="15" customHeight="1" s="178">
      <c r="A13" s="260" t="inlineStr">
        <is>
          <t>Month</t>
        </is>
      </c>
      <c r="B13" s="260" t="inlineStr">
        <is>
          <t>Creators</t>
        </is>
      </c>
      <c r="C13" s="260" t="inlineStr">
        <is>
          <t>Total Bookings</t>
        </is>
      </c>
      <c r="D13" s="260" t="inlineStr">
        <is>
          <t>Gross Volume ($)</t>
        </is>
      </c>
      <c r="E13" s="260" t="inlineStr">
        <is>
          <t>Commission ($)</t>
        </is>
      </c>
      <c r="F13" s="260" t="inlineStr">
        <is>
          <t>Stripe Fees ($)</t>
        </is>
      </c>
      <c r="G13" s="260" t="inlineStr">
        <is>
          <t>Net Revenue ($)</t>
        </is>
      </c>
    </row>
    <row r="14" ht="16.5" customHeight="1" s="178">
      <c r="A14" s="287" t="n">
        <v>1</v>
      </c>
      <c r="B14" s="227">
        <f>$B$8</f>
        <v/>
      </c>
      <c r="C14" s="288">
        <f>B14*$B$10</f>
        <v/>
      </c>
      <c r="D14" s="196">
        <f>C14*$B$4</f>
        <v/>
      </c>
      <c r="E14" s="196">
        <f>D14*$B$5</f>
        <v/>
      </c>
      <c r="F14" s="289">
        <f>D14*$B$6+C14*$B$7</f>
        <v/>
      </c>
      <c r="G14" s="290">
        <f>E14-F14</f>
        <v/>
      </c>
    </row>
    <row r="15" ht="16.5" customHeight="1" s="178">
      <c r="A15" s="291" t="n">
        <v>2</v>
      </c>
      <c r="B15" s="226">
        <f>B14+$B$9</f>
        <v/>
      </c>
      <c r="C15" s="292">
        <f>B15*$B$10</f>
        <v/>
      </c>
      <c r="D15" s="293">
        <f>C15*$B$4</f>
        <v/>
      </c>
      <c r="E15" s="293">
        <f>D15*$B$5</f>
        <v/>
      </c>
      <c r="F15" s="294">
        <f>D15*$B$6+C15*$B$7</f>
        <v/>
      </c>
      <c r="G15" s="295">
        <f>E15-F15</f>
        <v/>
      </c>
    </row>
    <row r="16" ht="16.5" customHeight="1" s="178">
      <c r="A16" s="287" t="n">
        <v>3</v>
      </c>
      <c r="B16" s="227">
        <f>B15+$B$9</f>
        <v/>
      </c>
      <c r="C16" s="288">
        <f>B16*$B$10</f>
        <v/>
      </c>
      <c r="D16" s="196">
        <f>C16*$B$4</f>
        <v/>
      </c>
      <c r="E16" s="196">
        <f>D16*$B$5</f>
        <v/>
      </c>
      <c r="F16" s="289">
        <f>D16*$B$6+C16*$B$7</f>
        <v/>
      </c>
      <c r="G16" s="290">
        <f>E16-F16</f>
        <v/>
      </c>
    </row>
    <row r="17" ht="16.5" customHeight="1" s="178">
      <c r="A17" s="291" t="n">
        <v>4</v>
      </c>
      <c r="B17" s="226">
        <f>B16+$B$9</f>
        <v/>
      </c>
      <c r="C17" s="292">
        <f>B17*$B$10</f>
        <v/>
      </c>
      <c r="D17" s="293">
        <f>C17*$B$4</f>
        <v/>
      </c>
      <c r="E17" s="293">
        <f>D17*$B$5</f>
        <v/>
      </c>
      <c r="F17" s="294">
        <f>D17*$B$6+C17*$B$7</f>
        <v/>
      </c>
      <c r="G17" s="295">
        <f>E17-F17</f>
        <v/>
      </c>
    </row>
    <row r="18" ht="16.5" customHeight="1" s="178">
      <c r="A18" s="287" t="n">
        <v>5</v>
      </c>
      <c r="B18" s="227">
        <f>B17+$B$9</f>
        <v/>
      </c>
      <c r="C18" s="288">
        <f>B18*$B$10</f>
        <v/>
      </c>
      <c r="D18" s="196">
        <f>C18*$B$4</f>
        <v/>
      </c>
      <c r="E18" s="196">
        <f>D18*$B$5</f>
        <v/>
      </c>
      <c r="F18" s="289">
        <f>D18*$B$6+C18*$B$7</f>
        <v/>
      </c>
      <c r="G18" s="290">
        <f>E18-F18</f>
        <v/>
      </c>
    </row>
    <row r="19" ht="16.5" customHeight="1" s="178">
      <c r="A19" s="291" t="n">
        <v>6</v>
      </c>
      <c r="B19" s="226">
        <f>B18+$B$9</f>
        <v/>
      </c>
      <c r="C19" s="292">
        <f>B19*$B$10</f>
        <v/>
      </c>
      <c r="D19" s="293">
        <f>C19*$B$4</f>
        <v/>
      </c>
      <c r="E19" s="293">
        <f>D19*$B$5</f>
        <v/>
      </c>
      <c r="F19" s="294">
        <f>D19*$B$6+C19*$B$7</f>
        <v/>
      </c>
      <c r="G19" s="295">
        <f>E19-F19</f>
        <v/>
      </c>
    </row>
    <row r="20" ht="16.5" customHeight="1" s="178">
      <c r="A20" s="287" t="n">
        <v>7</v>
      </c>
      <c r="B20" s="227">
        <f>B19+$B$9</f>
        <v/>
      </c>
      <c r="C20" s="288">
        <f>B20*$B$10</f>
        <v/>
      </c>
      <c r="D20" s="196">
        <f>C20*$B$4</f>
        <v/>
      </c>
      <c r="E20" s="196">
        <f>D20*$B$5</f>
        <v/>
      </c>
      <c r="F20" s="289">
        <f>D20*$B$6+C20*$B$7</f>
        <v/>
      </c>
      <c r="G20" s="290">
        <f>E20-F20</f>
        <v/>
      </c>
    </row>
    <row r="21" ht="16.5" customHeight="1" s="178">
      <c r="A21" s="291" t="n">
        <v>8</v>
      </c>
      <c r="B21" s="226">
        <f>B20+$B$9</f>
        <v/>
      </c>
      <c r="C21" s="292">
        <f>B21*$B$10</f>
        <v/>
      </c>
      <c r="D21" s="293">
        <f>C21*$B$4</f>
        <v/>
      </c>
      <c r="E21" s="293">
        <f>D21*$B$5</f>
        <v/>
      </c>
      <c r="F21" s="294">
        <f>D21*$B$6+C21*$B$7</f>
        <v/>
      </c>
      <c r="G21" s="295">
        <f>E21-F21</f>
        <v/>
      </c>
    </row>
    <row r="22" ht="16.5" customHeight="1" s="178">
      <c r="A22" s="287" t="n">
        <v>9</v>
      </c>
      <c r="B22" s="227">
        <f>B21+$B$9</f>
        <v/>
      </c>
      <c r="C22" s="288">
        <f>B22*$B$10</f>
        <v/>
      </c>
      <c r="D22" s="196">
        <f>C22*$B$4</f>
        <v/>
      </c>
      <c r="E22" s="196">
        <f>D22*$B$5</f>
        <v/>
      </c>
      <c r="F22" s="289">
        <f>D22*$B$6+C22*$B$7</f>
        <v/>
      </c>
      <c r="G22" s="290">
        <f>E22-F22</f>
        <v/>
      </c>
    </row>
    <row r="23" ht="16.5" customHeight="1" s="178">
      <c r="A23" s="291" t="n">
        <v>10</v>
      </c>
      <c r="B23" s="226">
        <f>B22+$B$9</f>
        <v/>
      </c>
      <c r="C23" s="292">
        <f>B23*$B$10</f>
        <v/>
      </c>
      <c r="D23" s="293">
        <f>C23*$B$4</f>
        <v/>
      </c>
      <c r="E23" s="293">
        <f>D23*$B$5</f>
        <v/>
      </c>
      <c r="F23" s="294">
        <f>D23*$B$6+C23*$B$7</f>
        <v/>
      </c>
      <c r="G23" s="295">
        <f>E23-F23</f>
        <v/>
      </c>
    </row>
    <row r="24" ht="16.5" customHeight="1" s="178">
      <c r="A24" s="287" t="n">
        <v>11</v>
      </c>
      <c r="B24" s="227">
        <f>B23+$B$9</f>
        <v/>
      </c>
      <c r="C24" s="288">
        <f>B24*$B$10</f>
        <v/>
      </c>
      <c r="D24" s="196">
        <f>C24*$B$4</f>
        <v/>
      </c>
      <c r="E24" s="196">
        <f>D24*$B$5</f>
        <v/>
      </c>
      <c r="F24" s="289">
        <f>D24*$B$6+C24*$B$7</f>
        <v/>
      </c>
      <c r="G24" s="290">
        <f>E24-F24</f>
        <v/>
      </c>
    </row>
    <row r="25" ht="16.5" customHeight="1" s="178">
      <c r="A25" s="291" t="n">
        <v>12</v>
      </c>
      <c r="B25" s="226">
        <f>B24+$B$9</f>
        <v/>
      </c>
      <c r="C25" s="292">
        <f>B25*$B$10</f>
        <v/>
      </c>
      <c r="D25" s="293">
        <f>C25*$B$4</f>
        <v/>
      </c>
      <c r="E25" s="293">
        <f>D25*$B$5</f>
        <v/>
      </c>
      <c r="F25" s="294">
        <f>D25*$B$6+C25*$B$7</f>
        <v/>
      </c>
      <c r="G25" s="295">
        <f>E25-F25</f>
        <v/>
      </c>
    </row>
    <row r="26" ht="16.5" customHeight="1" s="178">
      <c r="A26" s="287" t="n">
        <v>13</v>
      </c>
      <c r="B26" s="227">
        <f>B25+$B$9</f>
        <v/>
      </c>
      <c r="C26" s="288">
        <f>B26*$B$10</f>
        <v/>
      </c>
      <c r="D26" s="196">
        <f>C26*$B$4</f>
        <v/>
      </c>
      <c r="E26" s="196">
        <f>D26*$B$5</f>
        <v/>
      </c>
      <c r="F26" s="289">
        <f>D26*$B$6+C26*$B$7</f>
        <v/>
      </c>
      <c r="G26" s="290">
        <f>E26-F26</f>
        <v/>
      </c>
    </row>
    <row r="27" ht="16.5" customHeight="1" s="178">
      <c r="A27" s="291" t="n">
        <v>14</v>
      </c>
      <c r="B27" s="226">
        <f>B26+$B$9</f>
        <v/>
      </c>
      <c r="C27" s="292">
        <f>B27*$B$10</f>
        <v/>
      </c>
      <c r="D27" s="293">
        <f>C27*$B$4</f>
        <v/>
      </c>
      <c r="E27" s="293">
        <f>D27*$B$5</f>
        <v/>
      </c>
      <c r="F27" s="294">
        <f>D27*$B$6+C27*$B$7</f>
        <v/>
      </c>
      <c r="G27" s="295">
        <f>E27-F27</f>
        <v/>
      </c>
    </row>
    <row r="28" ht="16.5" customHeight="1" s="178">
      <c r="A28" s="287" t="n">
        <v>15</v>
      </c>
      <c r="B28" s="227">
        <f>B27+$B$9</f>
        <v/>
      </c>
      <c r="C28" s="288">
        <f>B28*$B$10</f>
        <v/>
      </c>
      <c r="D28" s="196">
        <f>C28*$B$4</f>
        <v/>
      </c>
      <c r="E28" s="196">
        <f>D28*$B$5</f>
        <v/>
      </c>
      <c r="F28" s="289">
        <f>D28*$B$6+C28*$B$7</f>
        <v/>
      </c>
      <c r="G28" s="290">
        <f>E28-F28</f>
        <v/>
      </c>
    </row>
    <row r="29" ht="16.5" customHeight="1" s="178">
      <c r="A29" s="291" t="n">
        <v>16</v>
      </c>
      <c r="B29" s="226">
        <f>B28+$B$9</f>
        <v/>
      </c>
      <c r="C29" s="292">
        <f>B29*$B$10</f>
        <v/>
      </c>
      <c r="D29" s="293">
        <f>C29*$B$4</f>
        <v/>
      </c>
      <c r="E29" s="293">
        <f>D29*$B$5</f>
        <v/>
      </c>
      <c r="F29" s="294">
        <f>D29*$B$6+C29*$B$7</f>
        <v/>
      </c>
      <c r="G29" s="295">
        <f>E29-F29</f>
        <v/>
      </c>
    </row>
    <row r="30" ht="16.5" customHeight="1" s="178">
      <c r="A30" s="287" t="n">
        <v>17</v>
      </c>
      <c r="B30" s="227">
        <f>B29+$B$9</f>
        <v/>
      </c>
      <c r="C30" s="288">
        <f>B30*$B$10</f>
        <v/>
      </c>
      <c r="D30" s="196">
        <f>C30*$B$4</f>
        <v/>
      </c>
      <c r="E30" s="196">
        <f>D30*$B$5</f>
        <v/>
      </c>
      <c r="F30" s="289">
        <f>D30*$B$6+C30*$B$7</f>
        <v/>
      </c>
      <c r="G30" s="290">
        <f>E30-F30</f>
        <v/>
      </c>
    </row>
    <row r="31" ht="16.5" customHeight="1" s="178">
      <c r="A31" s="291" t="n">
        <v>18</v>
      </c>
      <c r="B31" s="226">
        <f>B30+$B$9</f>
        <v/>
      </c>
      <c r="C31" s="292">
        <f>B31*$B$10</f>
        <v/>
      </c>
      <c r="D31" s="293">
        <f>C31*$B$4</f>
        <v/>
      </c>
      <c r="E31" s="293">
        <f>D31*$B$5</f>
        <v/>
      </c>
      <c r="F31" s="294">
        <f>D31*$B$6+C31*$B$7</f>
        <v/>
      </c>
      <c r="G31" s="295">
        <f>E31-F31</f>
        <v/>
      </c>
    </row>
    <row r="32" ht="16.5" customHeight="1" s="178">
      <c r="A32" s="287" t="n">
        <v>19</v>
      </c>
      <c r="B32" s="227">
        <f>B31+$B$9</f>
        <v/>
      </c>
      <c r="C32" s="288">
        <f>B32*$B$10</f>
        <v/>
      </c>
      <c r="D32" s="196">
        <f>C32*$B$4</f>
        <v/>
      </c>
      <c r="E32" s="196">
        <f>D32*$B$5</f>
        <v/>
      </c>
      <c r="F32" s="289">
        <f>D32*$B$6+C32*$B$7</f>
        <v/>
      </c>
      <c r="G32" s="290">
        <f>E32-F32</f>
        <v/>
      </c>
    </row>
    <row r="33" ht="16.5" customHeight="1" s="178">
      <c r="A33" s="291" t="n">
        <v>20</v>
      </c>
      <c r="B33" s="226">
        <f>B32+$B$9</f>
        <v/>
      </c>
      <c r="C33" s="292">
        <f>B33*$B$10</f>
        <v/>
      </c>
      <c r="D33" s="293">
        <f>C33*$B$4</f>
        <v/>
      </c>
      <c r="E33" s="293">
        <f>D33*$B$5</f>
        <v/>
      </c>
      <c r="F33" s="294">
        <f>D33*$B$6+C33*$B$7</f>
        <v/>
      </c>
      <c r="G33" s="295">
        <f>E33-F33</f>
        <v/>
      </c>
    </row>
    <row r="34" ht="16.5" customHeight="1" s="178">
      <c r="A34" s="287" t="n">
        <v>21</v>
      </c>
      <c r="B34" s="227">
        <f>B33+$B$9</f>
        <v/>
      </c>
      <c r="C34" s="288">
        <f>B34*$B$10</f>
        <v/>
      </c>
      <c r="D34" s="196">
        <f>C34*$B$4</f>
        <v/>
      </c>
      <c r="E34" s="196">
        <f>D34*$B$5</f>
        <v/>
      </c>
      <c r="F34" s="289">
        <f>D34*$B$6+C34*$B$7</f>
        <v/>
      </c>
      <c r="G34" s="290">
        <f>E34-F34</f>
        <v/>
      </c>
    </row>
    <row r="35" ht="16.5" customHeight="1" s="178">
      <c r="A35" s="291" t="n">
        <v>22</v>
      </c>
      <c r="B35" s="226">
        <f>B34+$B$9</f>
        <v/>
      </c>
      <c r="C35" s="292">
        <f>B35*$B$10</f>
        <v/>
      </c>
      <c r="D35" s="293">
        <f>C35*$B$4</f>
        <v/>
      </c>
      <c r="E35" s="293">
        <f>D35*$B$5</f>
        <v/>
      </c>
      <c r="F35" s="294">
        <f>D35*$B$6+C35*$B$7</f>
        <v/>
      </c>
      <c r="G35" s="295">
        <f>E35-F35</f>
        <v/>
      </c>
    </row>
    <row r="36" ht="16.5" customHeight="1" s="178">
      <c r="A36" s="287" t="n">
        <v>23</v>
      </c>
      <c r="B36" s="227">
        <f>B35+$B$9</f>
        <v/>
      </c>
      <c r="C36" s="288">
        <f>B36*$B$10</f>
        <v/>
      </c>
      <c r="D36" s="196">
        <f>C36*$B$4</f>
        <v/>
      </c>
      <c r="E36" s="196">
        <f>D36*$B$5</f>
        <v/>
      </c>
      <c r="F36" s="289">
        <f>D36*$B$6+C36*$B$7</f>
        <v/>
      </c>
      <c r="G36" s="290">
        <f>E36-F36</f>
        <v/>
      </c>
    </row>
    <row r="37" ht="16.5" customHeight="1" s="178">
      <c r="A37" s="291" t="n">
        <v>24</v>
      </c>
      <c r="B37" s="226">
        <f>B36+$B$9</f>
        <v/>
      </c>
      <c r="C37" s="292">
        <f>B37*$B$10</f>
        <v/>
      </c>
      <c r="D37" s="293">
        <f>C37*$B$4</f>
        <v/>
      </c>
      <c r="E37" s="293">
        <f>D37*$B$5</f>
        <v/>
      </c>
      <c r="F37" s="294">
        <f>D37*$B$6+C37*$B$7</f>
        <v/>
      </c>
      <c r="G37" s="295">
        <f>E37-F37</f>
        <v/>
      </c>
    </row>
    <row r="38" ht="15" customHeight="1" s="178">
      <c r="A38" s="238" t="inlineStr">
        <is>
          <t>24-MONTH TOTAL</t>
        </is>
      </c>
      <c r="C38" s="296">
        <f>SUM(C14:C37)</f>
        <v/>
      </c>
      <c r="D38" s="296">
        <f>SUM(D14:D37)</f>
        <v/>
      </c>
      <c r="E38" s="296">
        <f>SUM(E14:E37)</f>
        <v/>
      </c>
      <c r="F38" s="296">
        <f>SUM(F14:F37)</f>
        <v/>
      </c>
      <c r="G38" s="296">
        <f>SUM(G14:G37)</f>
        <v/>
      </c>
    </row>
    <row r="42" ht="15" customHeight="1" s="178">
      <c r="A42" s="297" t="inlineStr">
        <is>
          <t>Break-even bookings needed (monthly)</t>
        </is>
      </c>
      <c r="B42" s="298">
        <f>IFERROR((Infrastructure!B11)/($B$4*$B$5-$B$4*$B$6-$B$7), 0)</f>
        <v/>
      </c>
    </row>
  </sheetData>
  <mergeCells count="3">
    <mergeCell ref="A3:C3"/>
    <mergeCell ref="A1:G1"/>
    <mergeCell ref="A12:G1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6" customWidth="1" style="177" min="1" max="1"/>
    <col width="16" customWidth="1" style="177" min="2" max="7"/>
  </cols>
  <sheetData>
    <row r="1" ht="17.25" customHeight="1" s="178">
      <c r="A1" s="271" t="inlineStr">
        <is>
          <t>Stripe Fee Analysis — Net Revenue per Booking</t>
        </is>
      </c>
    </row>
    <row r="2" ht="15" customHeight="1" s="178">
      <c r="A2" s="272" t="inlineStr">
        <is>
          <t>Shows your actual net on each booking size after Stripe takes their 2.9% + $0.30</t>
        </is>
      </c>
    </row>
    <row r="4" ht="15" customHeight="1" s="178">
      <c r="A4" s="259" t="inlineStr">
        <is>
          <t>STRIPE ASSUMPTIONS</t>
        </is>
      </c>
    </row>
    <row r="5" ht="18" customHeight="1" s="178">
      <c r="A5" s="184" t="inlineStr">
        <is>
          <t>Stripe % fee</t>
        </is>
      </c>
      <c r="B5" s="284" t="n">
        <v>0.029</v>
      </c>
      <c r="C5" s="177" t="n">
        <v>0.029</v>
      </c>
    </row>
    <row r="6" ht="18" customHeight="1" s="178">
      <c r="A6" s="184" t="inlineStr">
        <is>
          <t>Stripe fixed fee ($)</t>
        </is>
      </c>
      <c r="B6" s="274" t="n">
        <v>0.3</v>
      </c>
    </row>
    <row r="7" ht="18" customHeight="1" s="178">
      <c r="A7" s="184" t="inlineStr">
        <is>
          <t>Your commission %</t>
        </is>
      </c>
      <c r="B7" s="284" t="n">
        <v>0.08</v>
      </c>
    </row>
    <row r="8" ht="15" customHeight="1" s="178">
      <c r="C8" s="280">
        <f>F14</f>
        <v/>
      </c>
    </row>
    <row r="9" ht="15" customHeight="1" s="178">
      <c r="A9" s="260" t="inlineStr">
        <is>
          <t>Booking Size ($)</t>
        </is>
      </c>
      <c r="B9" s="260" t="inlineStr">
        <is>
          <t>Gross Commission</t>
        </is>
      </c>
      <c r="C9" s="260" t="inlineStr">
        <is>
          <t>Stripe % Fee</t>
        </is>
      </c>
      <c r="D9" s="260" t="inlineStr">
        <is>
          <t>Stripe Fixed</t>
        </is>
      </c>
      <c r="E9" s="260" t="inlineStr">
        <is>
          <t>Total Stripe Cost</t>
        </is>
      </c>
      <c r="F9" s="260" t="inlineStr">
        <is>
          <t>Your Net Revenue</t>
        </is>
      </c>
      <c r="G9" s="260" t="inlineStr">
        <is>
          <t>Effective Net Rate</t>
        </is>
      </c>
    </row>
    <row r="10" ht="18" customHeight="1" s="178">
      <c r="A10" s="185" t="n">
        <v>200</v>
      </c>
      <c r="B10" s="294">
        <f>A10*$B$7</f>
        <v/>
      </c>
      <c r="C10" s="294">
        <f>A10*$B$5</f>
        <v/>
      </c>
      <c r="D10" s="294">
        <f>$B$6</f>
        <v/>
      </c>
      <c r="E10" s="299">
        <f>C10+D10</f>
        <v/>
      </c>
      <c r="F10" s="300">
        <f>B10-E10</f>
        <v/>
      </c>
      <c r="G10" s="301">
        <f>IFERROR(F10/A10,0)</f>
        <v/>
      </c>
    </row>
    <row r="11" ht="18" customHeight="1" s="178">
      <c r="A11" s="302" t="n">
        <v>350</v>
      </c>
      <c r="B11" s="289">
        <f>A11*$B$7</f>
        <v/>
      </c>
      <c r="C11" s="289">
        <f>A11*$B$5</f>
        <v/>
      </c>
      <c r="D11" s="289">
        <f>$B$6</f>
        <v/>
      </c>
      <c r="E11" s="303">
        <f>C11+D11</f>
        <v/>
      </c>
      <c r="F11" s="304">
        <f>B11-E11</f>
        <v/>
      </c>
      <c r="G11" s="305">
        <f>IFERROR(F11/A11,0)</f>
        <v/>
      </c>
    </row>
    <row r="12" ht="18" customHeight="1" s="178">
      <c r="A12" s="185" t="n">
        <v>500</v>
      </c>
      <c r="B12" s="294">
        <f>A12*$B$7</f>
        <v/>
      </c>
      <c r="C12" s="294">
        <f>A12*$B$5</f>
        <v/>
      </c>
      <c r="D12" s="294">
        <f>$B$6</f>
        <v/>
      </c>
      <c r="E12" s="299">
        <f>C12+D12</f>
        <v/>
      </c>
      <c r="F12" s="300">
        <f>B12-E12</f>
        <v/>
      </c>
      <c r="G12" s="301">
        <f>IFERROR(F12/A12,0)</f>
        <v/>
      </c>
    </row>
    <row r="13" ht="18" customHeight="1" s="178">
      <c r="A13" s="302" t="n">
        <v>750</v>
      </c>
      <c r="B13" s="289">
        <f>A13*$B$7</f>
        <v/>
      </c>
      <c r="C13" s="289">
        <f>A13*$B$5</f>
        <v/>
      </c>
      <c r="D13" s="289">
        <f>$B$6</f>
        <v/>
      </c>
      <c r="E13" s="303">
        <f>C13+D13</f>
        <v/>
      </c>
      <c r="F13" s="304">
        <f>B13-E13</f>
        <v/>
      </c>
      <c r="G13" s="305">
        <f>IFERROR(F13/A13,0)</f>
        <v/>
      </c>
    </row>
    <row r="14" ht="18" customHeight="1" s="178">
      <c r="A14" s="185" t="n">
        <v>1000</v>
      </c>
      <c r="B14" s="294">
        <f>A14*$B$7</f>
        <v/>
      </c>
      <c r="C14" s="294">
        <f>A14*$B$5</f>
        <v/>
      </c>
      <c r="D14" s="294">
        <f>$B$6</f>
        <v/>
      </c>
      <c r="E14" s="299">
        <f>C14+D14</f>
        <v/>
      </c>
      <c r="F14" s="300">
        <f>B14-E14</f>
        <v/>
      </c>
      <c r="G14" s="301">
        <f>IFERROR(F14/A14,0)</f>
        <v/>
      </c>
    </row>
    <row r="15" ht="18" customHeight="1" s="178">
      <c r="A15" s="302" t="n">
        <v>1250</v>
      </c>
      <c r="B15" s="289">
        <f>A15*$B$7</f>
        <v/>
      </c>
      <c r="C15" s="289">
        <f>A15*$B$5</f>
        <v/>
      </c>
      <c r="D15" s="289">
        <f>$B$6</f>
        <v/>
      </c>
      <c r="E15" s="303">
        <f>C15+D15</f>
        <v/>
      </c>
      <c r="F15" s="304">
        <f>B15-E15</f>
        <v/>
      </c>
      <c r="G15" s="305">
        <f>IFERROR(F15/A15,0)</f>
        <v/>
      </c>
    </row>
    <row r="16" ht="18" customHeight="1" s="178">
      <c r="A16" s="185" t="n">
        <v>1500</v>
      </c>
      <c r="B16" s="294">
        <f>A16*$B$7</f>
        <v/>
      </c>
      <c r="C16" s="294">
        <f>A16*$B$5</f>
        <v/>
      </c>
      <c r="D16" s="294">
        <f>$B$6</f>
        <v/>
      </c>
      <c r="E16" s="299">
        <f>C16+D16</f>
        <v/>
      </c>
      <c r="F16" s="300">
        <f>B16-E16</f>
        <v/>
      </c>
      <c r="G16" s="301">
        <f>IFERROR(F16/A16,0)</f>
        <v/>
      </c>
    </row>
    <row r="17" ht="18" customHeight="1" s="178">
      <c r="A17" s="302" t="n">
        <v>2000</v>
      </c>
      <c r="B17" s="289">
        <f>A17*$B$7</f>
        <v/>
      </c>
      <c r="C17" s="289">
        <f>A17*$B$5</f>
        <v/>
      </c>
      <c r="D17" s="289">
        <f>$B$6</f>
        <v/>
      </c>
      <c r="E17" s="303">
        <f>C17+D17</f>
        <v/>
      </c>
      <c r="F17" s="304">
        <f>B17-E17</f>
        <v/>
      </c>
      <c r="G17" s="305">
        <f>IFERROR(F17/A17,0)</f>
        <v/>
      </c>
    </row>
    <row r="18" ht="18" customHeight="1" s="178">
      <c r="A18" s="185" t="n">
        <v>2500</v>
      </c>
      <c r="B18" s="294">
        <f>A18*$B$7</f>
        <v/>
      </c>
      <c r="C18" s="294">
        <f>A18*$B$5</f>
        <v/>
      </c>
      <c r="D18" s="294">
        <f>$B$6</f>
        <v/>
      </c>
      <c r="E18" s="299">
        <f>C18+D18</f>
        <v/>
      </c>
      <c r="F18" s="300">
        <f>B18-E18</f>
        <v/>
      </c>
      <c r="G18" s="301">
        <f>IFERROR(F18/A18,0)</f>
        <v/>
      </c>
    </row>
    <row r="19" ht="18" customHeight="1" s="178">
      <c r="A19" s="302" t="n">
        <v>3000</v>
      </c>
      <c r="B19" s="289">
        <f>A19*$B$7</f>
        <v/>
      </c>
      <c r="C19" s="289">
        <f>A19*$B$5</f>
        <v/>
      </c>
      <c r="D19" s="289">
        <f>$B$6</f>
        <v/>
      </c>
      <c r="E19" s="303">
        <f>C19+D19</f>
        <v/>
      </c>
      <c r="F19" s="304">
        <f>B19-E19</f>
        <v/>
      </c>
      <c r="G19" s="305">
        <f>IFERROR(F19/A19,0)</f>
        <v/>
      </c>
    </row>
    <row r="21" ht="30" customHeight="1" s="178">
      <c r="A21" s="306" t="inlineStr">
        <is>
          <t>Note: Stripe fee is applied to the full booking amount (not just your commission). Adjust the commission % assumption to model split-fee pricing (charging both creator and client).</t>
        </is>
      </c>
    </row>
  </sheetData>
  <mergeCells count="4">
    <mergeCell ref="A1:G1"/>
    <mergeCell ref="A4:C4"/>
    <mergeCell ref="A21:G21"/>
    <mergeCell ref="A2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D3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2" customWidth="1" style="177" min="1" max="1"/>
    <col width="18" customWidth="1" style="177" min="2" max="3"/>
    <col width="26" customWidth="1" style="177" min="4" max="4"/>
  </cols>
  <sheetData>
    <row r="1" ht="17.25" customHeight="1" s="178">
      <c r="A1" s="271" t="inlineStr">
        <is>
          <t>Tax Planning — California LLC / Sole Founder</t>
        </is>
      </c>
    </row>
    <row r="2" ht="15" customHeight="1" s="178">
      <c r="A2" s="307" t="inlineStr">
        <is>
          <t>Not financial/tax advice. Consult a CPA for your specific situation.</t>
        </is>
      </c>
    </row>
    <row r="4" ht="15" customHeight="1" s="178">
      <c r="A4" s="308" t="inlineStr">
        <is>
          <t>FIXED ANNUAL TAXES (due regardless of revenue)</t>
        </is>
      </c>
    </row>
    <row r="5" ht="18" customHeight="1" s="178">
      <c r="A5" s="184" t="inlineStr">
        <is>
          <t>CA LLC Minimum Franchise Tax</t>
        </is>
      </c>
      <c r="B5" s="282" t="n">
        <v>800</v>
      </c>
      <c r="C5" s="309" t="inlineStr">
        <is>
          <t>Due annually</t>
        </is>
      </c>
      <c r="D5" s="276" t="inlineStr">
        <is>
          <t>Source: CA FTB Form 3522. Due within 3.5 months of LLC formation.</t>
        </is>
      </c>
    </row>
    <row r="6" ht="18" customHeight="1" s="178">
      <c r="A6" s="184" t="inlineStr">
        <is>
          <t>Apple Developer Account</t>
        </is>
      </c>
      <c r="B6" s="282" t="n">
        <v>99</v>
      </c>
      <c r="C6" s="310">
        <f>B5</f>
        <v/>
      </c>
      <c r="D6" s="276" t="inlineStr">
        <is>
          <t>Only if pursuing App Store. Source: developer.apple.com</t>
        </is>
      </c>
    </row>
    <row r="8" ht="15" customHeight="1" s="178">
      <c r="A8" s="267" t="inlineStr">
        <is>
          <t>REVENUE-BASED TAX RATES (assumptions)</t>
        </is>
      </c>
    </row>
    <row r="9" ht="18" customHeight="1" s="178">
      <c r="A9" s="184" t="inlineStr">
        <is>
          <t>Self-employment tax rate</t>
        </is>
      </c>
      <c r="B9" s="284" t="n">
        <v>0.153</v>
      </c>
      <c r="C9" s="283" t="n"/>
      <c r="D9" s="276" t="inlineStr">
        <is>
          <t>15.3% on net profit (Social Security + Medicare)</t>
        </is>
      </c>
    </row>
    <row r="10" ht="18" customHeight="1" s="178">
      <c r="A10" s="184" t="inlineStr">
        <is>
          <t>CA state income tax rate (est.)</t>
        </is>
      </c>
      <c r="B10" s="284" t="n">
        <v>0.093</v>
      </c>
      <c r="C10" s="283" t="n"/>
      <c r="D10" s="276" t="inlineStr">
        <is>
          <t>9.3% — typical bracket for small biz income in CA</t>
        </is>
      </c>
    </row>
    <row r="11" ht="18" customHeight="1" s="178">
      <c r="A11" s="184" t="inlineStr">
        <is>
          <t>Federal income tax rate (est.)</t>
        </is>
      </c>
      <c r="B11" s="284" t="n">
        <v>0.22</v>
      </c>
      <c r="C11" s="283" t="n"/>
      <c r="D11" s="276" t="inlineStr">
        <is>
          <t>22% bracket — adjust based on total income</t>
        </is>
      </c>
    </row>
    <row r="12" ht="18" customHeight="1" s="178">
      <c r="A12" s="184" t="inlineStr">
        <is>
          <t>Recommended total tax reserve %</t>
        </is>
      </c>
      <c r="B12" s="284" t="n">
        <v>0.33</v>
      </c>
      <c r="C12" s="283" t="n"/>
      <c r="D12" s="276" t="inlineStr">
        <is>
          <t>Rule of thumb: set aside 33% of all platform revenue</t>
        </is>
      </c>
    </row>
    <row r="14" ht="15" customHeight="1" s="178">
      <c r="A14" s="259" t="inlineStr">
        <is>
          <t>TAX CALCULATOR — Enter Your Monthly Net Revenue</t>
        </is>
      </c>
    </row>
    <row r="15" ht="18" customHeight="1" s="178">
      <c r="A15" s="184" t="inlineStr">
        <is>
          <t>Monthly net platform revenue ($)</t>
        </is>
      </c>
      <c r="B15" s="311" t="n">
        <v>2000</v>
      </c>
      <c r="D15" s="276" t="inlineStr">
        <is>
          <t>Change this to model different revenue levels</t>
        </is>
      </c>
    </row>
    <row r="16" ht="18" customHeight="1" s="178">
      <c r="A16" s="184" t="inlineStr">
        <is>
          <t>Annual net platform revenue ($)</t>
        </is>
      </c>
      <c r="B16" s="312">
        <f>B15*12</f>
        <v/>
      </c>
    </row>
    <row r="17" ht="18" customHeight="1" s="178">
      <c r="A17" s="184" t="inlineStr">
        <is>
          <t>CA LLC Franchise Tax (annual)</t>
        </is>
      </c>
      <c r="B17" s="196">
        <f>$B$5</f>
        <v/>
      </c>
      <c r="C17" s="283" t="n"/>
      <c r="D17" s="283" t="n"/>
    </row>
    <row r="18" ht="18" customHeight="1" s="178">
      <c r="A18" s="184" t="inlineStr">
        <is>
          <t>Self-employment tax (annual)</t>
        </is>
      </c>
      <c r="B18" s="196">
        <f>B16*$B$9</f>
        <v/>
      </c>
      <c r="C18" s="283" t="n"/>
      <c r="D18" s="283" t="n"/>
    </row>
    <row r="19" ht="18" customHeight="1" s="178">
      <c r="A19" s="184" t="inlineStr">
        <is>
          <t>CA state income tax (annual, est.)</t>
        </is>
      </c>
      <c r="B19" s="196">
        <f>B16*$B$10</f>
        <v/>
      </c>
      <c r="C19" s="283" t="n"/>
      <c r="D19" s="283" t="n"/>
    </row>
    <row r="20" ht="18" customHeight="1" s="178">
      <c r="A20" s="184" t="inlineStr">
        <is>
          <t>Federal income tax (annual, est.)</t>
        </is>
      </c>
      <c r="B20" s="196">
        <f>B16*$B$11</f>
        <v/>
      </c>
      <c r="C20" s="313">
        <f>B12</f>
        <v/>
      </c>
      <c r="D20" s="283" t="n"/>
    </row>
    <row r="21" ht="18" customHeight="1" s="178">
      <c r="A21" s="238" t="inlineStr">
        <is>
          <t>TOTAL ANNUAL TAX ESTIMATE</t>
        </is>
      </c>
      <c r="B21" s="314">
        <f>SUM(B17:B20)</f>
        <v/>
      </c>
      <c r="C21" s="283" t="n"/>
      <c r="D21" s="283" t="n"/>
    </row>
    <row r="22" ht="18" customHeight="1" s="178">
      <c r="A22" s="184" t="inlineStr">
        <is>
          <t>Monthly tax reserve needed</t>
        </is>
      </c>
      <c r="B22" s="196">
        <f>B21/12</f>
        <v/>
      </c>
      <c r="C22" s="283" t="n"/>
      <c r="D22" s="283" t="n"/>
    </row>
    <row r="23" ht="18" customHeight="1" s="178">
      <c r="A23" s="184" t="inlineStr">
        <is>
          <t>Tax as % of revenue (check)</t>
        </is>
      </c>
      <c r="B23" s="305">
        <f>IFERROR(B21/B16,0)</f>
        <v/>
      </c>
      <c r="C23" s="283" t="n"/>
      <c r="D23" s="283" t="n"/>
    </row>
    <row r="25" ht="15" customHeight="1" s="178">
      <c r="A25" s="273" t="inlineStr">
        <is>
          <t>QUARTERLY ESTIMATED TAX PAYMENTS</t>
        </is>
      </c>
    </row>
    <row r="26" ht="18" customHeight="1" s="178">
      <c r="A26" s="184" t="inlineStr">
        <is>
          <t>Quarterly payment (÷4)</t>
        </is>
      </c>
      <c r="B26" s="312">
        <f>B21/4</f>
        <v/>
      </c>
      <c r="D26" s="276" t="inlineStr">
        <is>
          <t>Due: Apr 15 / Jun 15 / Sep 15 / Jan 15</t>
        </is>
      </c>
    </row>
    <row r="27" ht="18" customHeight="1" s="178">
      <c r="A27" s="190" t="inlineStr">
        <is>
          <t>Q1 (Jan–Mar)</t>
        </is>
      </c>
      <c r="B27" s="191">
        <f>$B$26</f>
        <v/>
      </c>
      <c r="C27" s="315" t="inlineStr">
        <is>
          <t>Due: Apr 15</t>
        </is>
      </c>
      <c r="D27" s="283" t="n"/>
    </row>
    <row r="28" ht="18" customHeight="1" s="178">
      <c r="A28" s="190" t="inlineStr">
        <is>
          <t>Q2 (Apr–Jun)</t>
        </is>
      </c>
      <c r="B28" s="191">
        <f>$B$26</f>
        <v/>
      </c>
      <c r="C28" s="315" t="inlineStr">
        <is>
          <t>Due: Jun 15</t>
        </is>
      </c>
      <c r="D28" s="283" t="n"/>
    </row>
    <row r="29" ht="18" customHeight="1" s="178">
      <c r="A29" s="190" t="inlineStr">
        <is>
          <t>Q3 (Jul–Sep)</t>
        </is>
      </c>
      <c r="B29" s="191">
        <f>$B$26</f>
        <v/>
      </c>
      <c r="C29" s="315" t="inlineStr">
        <is>
          <t>Due: Sep 15</t>
        </is>
      </c>
      <c r="D29" s="283" t="n"/>
    </row>
    <row r="30" ht="18" customHeight="1" s="178">
      <c r="A30" s="190" t="inlineStr">
        <is>
          <t>Q4 (Oct–Dec)</t>
        </is>
      </c>
      <c r="B30" s="191">
        <f>$B$26</f>
        <v/>
      </c>
      <c r="C30" s="315" t="inlineStr">
        <is>
          <t>Due: Jan 15</t>
        </is>
      </c>
      <c r="D30" s="283" t="n"/>
    </row>
  </sheetData>
  <mergeCells count="6">
    <mergeCell ref="A1:D1"/>
    <mergeCell ref="A8:D8"/>
    <mergeCell ref="A4:D4"/>
    <mergeCell ref="A25:D25"/>
    <mergeCell ref="A2:D2"/>
    <mergeCell ref="A14:D1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177" min="1" max="1"/>
    <col width="18" customWidth="1" style="177" min="2" max="4"/>
    <col width="20" customWidth="1" style="177" min="5" max="5"/>
    <col width="22" customWidth="1" style="177" min="6" max="6"/>
  </cols>
  <sheetData>
    <row r="1" ht="17.35" customHeight="1" s="178">
      <c r="A1" s="271" t="inlineStr">
        <is>
          <t>Creator Pro — Phase 2 Subscription Model</t>
        </is>
      </c>
    </row>
    <row r="2" ht="15" customHeight="1" s="178">
      <c r="A2" s="180" t="inlineStr">
        <is>
          <t>When to launch: after 25 real creators. What Pro unlocks for paying creators.</t>
        </is>
      </c>
    </row>
    <row r="4" ht="15" customHeight="1" s="178">
      <c r="A4" s="181" t="inlineStr">
        <is>
          <t>CREATOR PRO PERKS (what paying creators get)</t>
        </is>
      </c>
    </row>
    <row r="5" ht="15" customHeight="1" s="178">
      <c r="A5" s="223" t="inlineStr">
        <is>
          <t>Perk</t>
        </is>
      </c>
      <c r="B5" s="316" t="inlineStr">
        <is>
          <t>Description</t>
        </is>
      </c>
      <c r="C5" s="183" t="n"/>
      <c r="D5" s="183" t="n"/>
      <c r="E5" s="183" t="n"/>
      <c r="F5" s="224" t="n"/>
    </row>
    <row r="6" ht="18" customHeight="1" s="178">
      <c r="A6" s="238" t="inlineStr">
        <is>
          <t>Featured map placement</t>
        </is>
      </c>
      <c r="B6" s="270" t="inlineStr">
        <is>
          <t>Pin appears above non-Pro creators in the same area</t>
        </is>
      </c>
      <c r="C6" s="183" t="n"/>
      <c r="D6" s="183" t="n"/>
      <c r="E6" s="183" t="n"/>
      <c r="F6" s="183" t="n"/>
    </row>
    <row r="7" ht="18" customHeight="1" s="178">
      <c r="A7" s="238" t="inlineStr">
        <is>
          <t>Verified badge</t>
        </is>
      </c>
      <c r="B7" s="270" t="inlineStr">
        <is>
          <t>Purple ✓ shown on pin and profile card — builds trust with clients</t>
        </is>
      </c>
      <c r="C7" s="183" t="n"/>
      <c r="D7" s="183" t="n"/>
      <c r="E7" s="183" t="n"/>
      <c r="F7" s="183" t="n"/>
    </row>
    <row r="8" ht="18" customHeight="1" s="178">
      <c r="A8" s="238" t="inlineStr">
        <is>
          <t>Priority in search/filter</t>
        </is>
      </c>
      <c r="B8" s="270" t="inlineStr">
        <is>
          <t>Shows first when clients filter by discipline</t>
        </is>
      </c>
      <c r="C8" s="183" t="n"/>
      <c r="D8" s="183" t="n"/>
      <c r="E8" s="183" t="n"/>
      <c r="F8" s="183" t="n"/>
    </row>
    <row r="9" ht="18" customHeight="1" s="178">
      <c r="A9" s="238" t="inlineStr">
        <is>
          <t>Analytics dashboard</t>
        </is>
      </c>
      <c r="B9" s="270" t="inlineStr">
        <is>
          <t>View count trends, booking conversion rate, profile views over time</t>
        </is>
      </c>
      <c r="C9" s="183" t="n"/>
      <c r="D9" s="183" t="n"/>
      <c r="E9" s="183" t="n"/>
      <c r="F9" s="183" t="n"/>
    </row>
    <row r="10" ht="18" customHeight="1" s="178">
      <c r="A10" s="238" t="inlineStr">
        <is>
          <t>Booking protection</t>
        </is>
      </c>
      <c r="B10" s="270" t="inlineStr">
        <is>
          <t>Payment guaranteed even if client cancels within 24hrs</t>
        </is>
      </c>
      <c r="C10" s="183" t="n"/>
      <c r="D10" s="183" t="n"/>
      <c r="E10" s="183" t="n"/>
      <c r="F10" s="183" t="n"/>
    </row>
    <row r="11" ht="18" customHeight="1" s="178">
      <c r="A11" s="238" t="inlineStr">
        <is>
          <t>Rate card PDF export</t>
        </is>
      </c>
      <c r="B11" s="270" t="inlineStr">
        <is>
          <t>Generate a shareable rate card to send to clients directly</t>
        </is>
      </c>
      <c r="C11" s="183" t="n"/>
      <c r="D11" s="183" t="n"/>
      <c r="E11" s="183" t="n"/>
      <c r="F11" s="183" t="n"/>
    </row>
    <row r="13" ht="15" customHeight="1" s="178">
      <c r="A13" s="201" t="inlineStr">
        <is>
          <t>PRICING TIERS — ASSUMPTIONS (blue = change)</t>
        </is>
      </c>
    </row>
    <row r="14" ht="15" customHeight="1" s="178">
      <c r="A14" s="202" t="inlineStr">
        <is>
          <t>Tier</t>
        </is>
      </c>
      <c r="B14" s="202" t="inlineStr">
        <is>
          <t>Price/Month</t>
        </is>
      </c>
      <c r="C14" s="202" t="inlineStr">
        <is>
          <t>Annual (÷12)</t>
        </is>
      </c>
      <c r="D14" s="202" t="inlineStr">
        <is>
          <t>Target Creators</t>
        </is>
      </c>
      <c r="E14" s="202" t="inlineStr">
        <is>
          <t>Monthly Revenue</t>
        </is>
      </c>
      <c r="F14" s="202" t="inlineStr">
        <is>
          <t>Notes</t>
        </is>
      </c>
    </row>
    <row r="15" ht="19.5" customHeight="1" s="178">
      <c r="A15" s="238" t="inlineStr">
        <is>
          <t>Pro Monthly</t>
        </is>
      </c>
      <c r="B15" s="317" t="n">
        <v>19</v>
      </c>
      <c r="C15" s="243">
        <f>B15</f>
        <v/>
      </c>
      <c r="D15" s="240" t="n">
        <v>50</v>
      </c>
      <c r="E15" s="242">
        <f>B15*D15</f>
        <v/>
      </c>
      <c r="F15" s="276" t="inlineStr">
        <is>
          <t>Pro annual savings 0%</t>
        </is>
      </c>
    </row>
    <row r="16" ht="19.5" customHeight="1" s="178">
      <c r="A16" s="237" t="inlineStr">
        <is>
          <t>Pro Annual</t>
        </is>
      </c>
      <c r="B16" s="318" t="n">
        <v>15</v>
      </c>
      <c r="C16" s="191">
        <f>B16</f>
        <v/>
      </c>
      <c r="D16" s="218" t="n">
        <v>30</v>
      </c>
      <c r="E16" s="220">
        <f>B16*D16</f>
        <v/>
      </c>
      <c r="F16" s="276" t="inlineStr">
        <is>
          <t>Annual = $180/yr — saves $48 vs monthly</t>
        </is>
      </c>
    </row>
    <row r="17" ht="19.5" customHeight="1" s="178">
      <c r="A17" s="198" t="inlineStr">
        <is>
          <t>Pro Founding</t>
        </is>
      </c>
      <c r="B17" s="319" t="n">
        <v>12</v>
      </c>
      <c r="C17" s="216">
        <f>B17</f>
        <v/>
      </c>
      <c r="D17" s="214" t="n">
        <v>20</v>
      </c>
      <c r="E17" s="199">
        <f>B17*D17</f>
        <v/>
      </c>
      <c r="F17" s="276" t="inlineStr">
        <is>
          <t>Grandfathered rate for first 25 creators who join</t>
        </is>
      </c>
    </row>
    <row r="18" ht="19.5" customHeight="1" s="178">
      <c r="A18" s="198" t="inlineStr">
        <is>
          <t>TOTAL PRO MONTHLY REVENUE</t>
        </is>
      </c>
      <c r="B18" s="200" t="n"/>
      <c r="C18" s="200" t="n"/>
      <c r="D18" s="200" t="n"/>
      <c r="E18" s="222">
        <f>SUM(E15:E17)</f>
        <v/>
      </c>
      <c r="F18" s="200" t="n"/>
    </row>
    <row r="20" ht="15" customHeight="1" s="178">
      <c r="A20" s="189" t="inlineStr">
        <is>
          <t>LAUNCH SEQUENCE</t>
        </is>
      </c>
    </row>
    <row r="21" ht="15" customHeight="1" s="178">
      <c r="A21" s="232" t="inlineStr">
        <is>
          <t>Step</t>
        </is>
      </c>
      <c r="B21" s="232" t="inlineStr">
        <is>
          <t>Action</t>
        </is>
      </c>
      <c r="C21" s="320" t="inlineStr">
        <is>
          <t>Detail</t>
        </is>
      </c>
      <c r="D21" s="183" t="n"/>
      <c r="E21" s="183" t="n"/>
      <c r="F21" s="224" t="n"/>
    </row>
    <row r="22" ht="21.75" customHeight="1" s="178">
      <c r="A22" s="237" t="inlineStr">
        <is>
          <t>Step 1</t>
        </is>
      </c>
      <c r="B22" s="237" t="inlineStr">
        <is>
          <t>Reach 25 real creators</t>
        </is>
      </c>
      <c r="C22" s="321" t="inlineStr">
        <is>
          <t>Free phase — grow the map. No monetization.</t>
        </is>
      </c>
      <c r="D22" s="183" t="n"/>
      <c r="E22" s="183" t="n"/>
      <c r="F22" s="183" t="n"/>
    </row>
    <row r="23" ht="21.75" customHeight="1" s="178">
      <c r="A23" s="230" t="inlineStr">
        <is>
          <t>Step 2</t>
        </is>
      </c>
      <c r="B23" s="230" t="inlineStr">
        <is>
          <t>Soft launch Creator Pro</t>
        </is>
      </c>
      <c r="C23" s="322" t="inlineStr">
        <is>
          <t>Email first 25 creators. Offer Founding rate ($12/mo) to early adopters. No pressure.</t>
        </is>
      </c>
      <c r="D23" s="183" t="n"/>
      <c r="E23" s="183" t="n"/>
      <c r="F23" s="183" t="n"/>
    </row>
    <row r="24" ht="21.75" customHeight="1" s="178">
      <c r="A24" s="237" t="inlineStr">
        <is>
          <t>Step 3</t>
        </is>
      </c>
      <c r="B24" s="237" t="inlineStr">
        <is>
          <t>Announce Pro publicly</t>
        </is>
      </c>
      <c r="C24" s="321" t="inlineStr">
        <is>
          <t>TikTok/Reels post showing the verified badge and featured placement. Make it feel exclusive.</t>
        </is>
      </c>
      <c r="D24" s="183" t="n"/>
      <c r="E24" s="183" t="n"/>
      <c r="F24" s="183" t="n"/>
    </row>
    <row r="25" ht="21.75" customHeight="1" s="178">
      <c r="A25" s="230" t="inlineStr">
        <is>
          <t>Step 4</t>
        </is>
      </c>
      <c r="B25" s="230" t="inlineStr">
        <is>
          <t>New creators default to Pro trial</t>
        </is>
      </c>
      <c r="C25" s="322" t="inlineStr">
        <is>
          <t>14-day free Pro trial for every new creator who joins. Most will stay.</t>
        </is>
      </c>
      <c r="D25" s="183" t="n"/>
      <c r="E25" s="183" t="n"/>
      <c r="F25" s="183" t="n"/>
    </row>
    <row r="26" ht="21.75" customHeight="1" s="178">
      <c r="A26" s="237" t="inlineStr">
        <is>
          <t>Step 5</t>
        </is>
      </c>
      <c r="B26" s="237" t="inlineStr">
        <is>
          <t>Raise price for new creators</t>
        </is>
      </c>
      <c r="C26" s="321" t="inlineStr">
        <is>
          <t>After 6 months: new creators pay $19/mo. Founding creators keep $12/mo forever.</t>
        </is>
      </c>
      <c r="D26" s="183" t="n"/>
      <c r="E26" s="183" t="n"/>
      <c r="F26" s="183" t="n"/>
    </row>
  </sheetData>
  <mergeCells count="18">
    <mergeCell ref="C22:F22"/>
    <mergeCell ref="A2:F2"/>
    <mergeCell ref="B7:F7"/>
    <mergeCell ref="C23:F23"/>
    <mergeCell ref="B6:F6"/>
    <mergeCell ref="A13:F13"/>
    <mergeCell ref="B10:F10"/>
    <mergeCell ref="A1:F1"/>
    <mergeCell ref="B11:F11"/>
    <mergeCell ref="C26:F26"/>
    <mergeCell ref="B5:F5"/>
    <mergeCell ref="C21:F21"/>
    <mergeCell ref="A4:F4"/>
    <mergeCell ref="B8:F8"/>
    <mergeCell ref="A20:F20"/>
    <mergeCell ref="C25:F25"/>
    <mergeCell ref="C24:F24"/>
    <mergeCell ref="B9:F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G3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177" min="1" max="1"/>
    <col width="14" customWidth="1" style="177" min="2" max="6"/>
    <col width="26" customWidth="1" style="177" min="7" max="7"/>
  </cols>
  <sheetData>
    <row r="1" ht="16.15" customHeight="1" s="178">
      <c r="A1" s="323" t="inlineStr">
        <is>
          <t>Payment Processor Comparison — Find Cheapest Option for Shutter</t>
        </is>
      </c>
    </row>
    <row r="2" ht="15" customHeight="1" s="178">
      <c r="A2" s="180" t="inlineStr">
        <is>
          <t>Lower processor fees = more profit per booking. Sources: official pricing pages, April 2026.</t>
        </is>
      </c>
    </row>
    <row r="4" ht="15" customHeight="1" s="178">
      <c r="A4" s="201" t="inlineStr">
        <is>
          <t>PROCESSOR RATES</t>
        </is>
      </c>
    </row>
    <row r="5" ht="15" customHeight="1" s="178">
      <c r="A5" s="202" t="inlineStr">
        <is>
          <t>Processor</t>
        </is>
      </c>
      <c r="B5" s="202" t="inlineStr">
        <is>
          <t>Rate %</t>
        </is>
      </c>
      <c r="C5" s="202" t="inlineStr">
        <is>
          <t>Fixed Fee</t>
        </is>
      </c>
      <c r="D5" s="202" t="inlineStr">
        <is>
          <t>Cards?</t>
        </is>
      </c>
      <c r="E5" s="202" t="inlineStr">
        <is>
          <t>ACH?</t>
        </is>
      </c>
      <c r="F5" s="202" t="inlineStr">
        <is>
          <t>Marketplace?</t>
        </is>
      </c>
      <c r="G5" s="202" t="inlineStr">
        <is>
          <t>Notes</t>
        </is>
      </c>
    </row>
    <row r="6" ht="39.75" customHeight="1" s="178">
      <c r="A6" s="233" t="inlineStr">
        <is>
          <t>Stripe Connect</t>
        </is>
      </c>
      <c r="B6" s="324" t="n">
        <v>0.029</v>
      </c>
      <c r="C6" s="325" t="n">
        <v>0.3</v>
      </c>
      <c r="D6" s="326" t="inlineStr">
        <is>
          <t>✅ Yes</t>
        </is>
      </c>
      <c r="E6" s="326" t="inlineStr">
        <is>
          <t>✅ Yes ($1.50)</t>
        </is>
      </c>
      <c r="F6" s="326" t="inlineStr">
        <is>
          <t>✅ Best-in-class</t>
        </is>
      </c>
      <c r="G6" s="276" t="inlineStr">
        <is>
          <t>Industry standard. Best developer tools &amp; Connect API for marketplace payouts. Recommended for launch.</t>
        </is>
      </c>
    </row>
    <row r="7" ht="39.75" customHeight="1" s="178">
      <c r="A7" s="234" t="inlineStr">
        <is>
          <t>Helcim</t>
        </is>
      </c>
      <c r="B7" s="327" t="n">
        <v>0.0249</v>
      </c>
      <c r="C7" s="328" t="n">
        <v>0.25</v>
      </c>
      <c r="D7" s="329" t="inlineStr">
        <is>
          <t>✅ Yes</t>
        </is>
      </c>
      <c r="E7" s="329" t="inlineStr">
        <is>
          <t>✅ Yes</t>
        </is>
      </c>
      <c r="F7" s="329" t="inlineStr">
        <is>
          <t>⚠️ Manual setup</t>
        </is>
      </c>
      <c r="G7" s="276" t="inlineStr">
        <is>
          <t>Interchange+ pricing. Avg 25% cheaper than Stripe at volume. Less mature marketplace API.</t>
        </is>
      </c>
    </row>
    <row r="8" ht="39.75" customHeight="1" s="178">
      <c r="A8" s="198" t="inlineStr">
        <is>
          <t>Braintree (PayPal)</t>
        </is>
      </c>
      <c r="B8" s="330" t="n">
        <v>0.0259</v>
      </c>
      <c r="C8" s="331" t="n">
        <v>0.49</v>
      </c>
      <c r="D8" s="332" t="inlineStr">
        <is>
          <t>✅ Yes</t>
        </is>
      </c>
      <c r="E8" s="332" t="inlineStr">
        <is>
          <t>❌ Limited</t>
        </is>
      </c>
      <c r="F8" s="332" t="inlineStr">
        <is>
          <t>✅ Yes</t>
        </is>
      </c>
      <c r="G8" s="333" t="inlineStr">
        <is>
          <t>2.59% + $0.49 per card. BUT 0.75% flat for ACH bank transfers — huge savings on large bookings. No monthly fees. Note: $50K free promotion was discontinued in 2016.</t>
        </is>
      </c>
    </row>
    <row r="9" ht="39.75" customHeight="1" s="178">
      <c r="A9" s="237" t="inlineStr">
        <is>
          <t>Dwolla (ACH only)</t>
        </is>
      </c>
      <c r="B9" s="334" t="n">
        <v>0</v>
      </c>
      <c r="C9" s="335" t="n">
        <v>0</v>
      </c>
      <c r="D9" s="336" t="inlineStr">
        <is>
          <t>❌ No</t>
        </is>
      </c>
      <c r="E9" s="336" t="inlineStr">
        <is>
          <t>✅ Cheapest</t>
        </is>
      </c>
      <c r="F9" s="336" t="inlineStr">
        <is>
          <t>✅ Yes</t>
        </is>
      </c>
      <c r="G9" s="276" t="inlineStr">
        <is>
          <t>ACH bank transfers only — no credit cards. Usage-based pricing, contact for quote. ~$0.25-$1 per txn. Best for large bookings.</t>
        </is>
      </c>
    </row>
    <row r="10" ht="39.75" customHeight="1" s="178">
      <c r="A10" s="228" t="inlineStr">
        <is>
          <t>PayPal Payouts</t>
        </is>
      </c>
      <c r="B10" s="337" t="n">
        <v>0.0349</v>
      </c>
      <c r="C10" s="338" t="n">
        <v>0.49</v>
      </c>
      <c r="D10" s="339" t="inlineStr">
        <is>
          <t>✅ Yes</t>
        </is>
      </c>
      <c r="E10" s="339" t="inlineStr">
        <is>
          <t>❌</t>
        </is>
      </c>
      <c r="F10" s="339" t="inlineStr">
        <is>
          <t>⚠️ Limited</t>
        </is>
      </c>
      <c r="G10" s="276" t="inlineStr">
        <is>
          <t>Most expensive option. 3.49% + $0.49. Not recommended.</t>
        </is>
      </c>
    </row>
    <row r="11" ht="39.75" customHeight="1" s="178">
      <c r="A11" s="228" t="inlineStr">
        <is>
          <t>Square</t>
        </is>
      </c>
      <c r="B11" s="337" t="n">
        <v>0.029</v>
      </c>
      <c r="C11" s="338" t="n">
        <v>0.3</v>
      </c>
      <c r="D11" s="339" t="inlineStr">
        <is>
          <t>✅ Yes</t>
        </is>
      </c>
      <c r="E11" s="339" t="inlineStr">
        <is>
          <t>❌</t>
        </is>
      </c>
      <c r="F11" s="339" t="inlineStr">
        <is>
          <t>❌ No marketplace</t>
        </is>
      </c>
      <c r="G11" s="276" t="inlineStr">
        <is>
          <t>Same rate as Stripe but no marketplace/Connect equivalent. Not suitable for Shutter.</t>
        </is>
      </c>
    </row>
    <row r="13" ht="15" customHeight="1" s="178">
      <c r="A13" s="189" t="inlineStr">
        <is>
          <t>COST COMPARISON BY BOOKING SIZE — What each processor costs you per transaction</t>
        </is>
      </c>
    </row>
    <row r="14" ht="15" customHeight="1" s="178">
      <c r="A14" s="232" t="inlineStr">
        <is>
          <t>Booking Size</t>
        </is>
      </c>
      <c r="B14" s="232" t="inlineStr">
        <is>
          <t>Stripe</t>
        </is>
      </c>
      <c r="C14" s="232" t="inlineStr">
        <is>
          <t>Helcim</t>
        </is>
      </c>
      <c r="D14" s="232" t="inlineStr">
        <is>
          <t>Braintree*</t>
        </is>
      </c>
      <c r="E14" s="232" t="inlineStr">
        <is>
          <t>Dwolla ACH</t>
        </is>
      </c>
      <c r="F14" s="232" t="inlineStr">
        <is>
          <t>Savings vs Stripe (Helcim)</t>
        </is>
      </c>
      <c r="G14" s="232" t="inlineStr">
        <is>
          <t>Best Choice</t>
        </is>
      </c>
    </row>
    <row r="15" ht="18" customHeight="1" s="178">
      <c r="A15" s="185" t="n">
        <v>200</v>
      </c>
      <c r="B15" s="294">
        <f>A15*0.029+0.3</f>
        <v/>
      </c>
      <c r="C15" s="294">
        <f>A15*0.0249+0.25</f>
        <v/>
      </c>
      <c r="D15" s="294">
        <f>A15*0.0259+0.49</f>
        <v/>
      </c>
      <c r="E15" s="300">
        <f>MIN(A15*0.005,5)+0.25</f>
        <v/>
      </c>
      <c r="F15" s="340">
        <f>B15-C15</f>
        <v/>
      </c>
      <c r="G15" s="341">
        <f>IF(A15&lt;500,"Stripe (simplicity)","Helcim or Dwolla ACH")</f>
        <v/>
      </c>
    </row>
    <row r="16" ht="18" customHeight="1" s="178">
      <c r="A16" s="302" t="n">
        <v>500</v>
      </c>
      <c r="B16" s="289">
        <f>A16*0.029+0.3</f>
        <v/>
      </c>
      <c r="C16" s="289">
        <f>A16*0.0249+0.25</f>
        <v/>
      </c>
      <c r="D16" s="289">
        <f>A16*0.0259+0.49</f>
        <v/>
      </c>
      <c r="E16" s="304">
        <f>MIN(A16*0.005,5)+0.25</f>
        <v/>
      </c>
      <c r="F16" s="342">
        <f>B16-C16</f>
        <v/>
      </c>
      <c r="G16" s="343">
        <f>IF(A16&lt;500,"Stripe (simplicity)","Helcim or Dwolla ACH")</f>
        <v/>
      </c>
    </row>
    <row r="17" ht="18" customHeight="1" s="178">
      <c r="A17" s="185" t="n">
        <v>750</v>
      </c>
      <c r="B17" s="294">
        <f>A17*0.029+0.3</f>
        <v/>
      </c>
      <c r="C17" s="294">
        <f>A17*0.0249+0.25</f>
        <v/>
      </c>
      <c r="D17" s="294">
        <f>A17*0.0259+0.49</f>
        <v/>
      </c>
      <c r="E17" s="300">
        <f>MIN(A17*0.005,5)+0.25</f>
        <v/>
      </c>
      <c r="F17" s="340">
        <f>B17-C17</f>
        <v/>
      </c>
      <c r="G17" s="341">
        <f>IF(A17&lt;500,"Stripe (simplicity)","Helcim or Dwolla ACH")</f>
        <v/>
      </c>
    </row>
    <row r="18" ht="18" customHeight="1" s="178">
      <c r="A18" s="302" t="n">
        <v>1000</v>
      </c>
      <c r="B18" s="289">
        <f>A18*0.029+0.3</f>
        <v/>
      </c>
      <c r="C18" s="289">
        <f>A18*0.0249+0.25</f>
        <v/>
      </c>
      <c r="D18" s="289">
        <f>A18*0.0259+0.49</f>
        <v/>
      </c>
      <c r="E18" s="304">
        <f>MIN(A18*0.005,5)+0.25</f>
        <v/>
      </c>
      <c r="F18" s="342">
        <f>B18-C18</f>
        <v/>
      </c>
      <c r="G18" s="343">
        <f>IF(A18&lt;500,"Stripe (simplicity)","Helcim or Dwolla ACH")</f>
        <v/>
      </c>
    </row>
    <row r="19" ht="18" customHeight="1" s="178">
      <c r="A19" s="185" t="n">
        <v>1500</v>
      </c>
      <c r="B19" s="294">
        <f>A19*0.029+0.3</f>
        <v/>
      </c>
      <c r="C19" s="294">
        <f>A19*0.0249+0.25</f>
        <v/>
      </c>
      <c r="D19" s="294">
        <f>A19*0.0259+0.49</f>
        <v/>
      </c>
      <c r="E19" s="300">
        <f>MIN(A19*0.005,5)+0.25</f>
        <v/>
      </c>
      <c r="F19" s="340">
        <f>B19-C19</f>
        <v/>
      </c>
      <c r="G19" s="341">
        <f>IF(A19&lt;500,"Stripe (simplicity)","Helcim or Dwolla ACH")</f>
        <v/>
      </c>
    </row>
    <row r="20" ht="18" customHeight="1" s="178">
      <c r="A20" s="302" t="n">
        <v>2000</v>
      </c>
      <c r="B20" s="289">
        <f>A20*0.029+0.3</f>
        <v/>
      </c>
      <c r="C20" s="289">
        <f>A20*0.0249+0.25</f>
        <v/>
      </c>
      <c r="D20" s="289">
        <f>A20*0.0259+0.49</f>
        <v/>
      </c>
      <c r="E20" s="304">
        <f>MIN(A20*0.005,5)+0.25</f>
        <v/>
      </c>
      <c r="F20" s="342">
        <f>B20-C20</f>
        <v/>
      </c>
      <c r="G20" s="343">
        <f>IF(A20&lt;500,"Stripe (simplicity)","Helcim or Dwolla ACH")</f>
        <v/>
      </c>
    </row>
    <row r="21" ht="18" customHeight="1" s="178">
      <c r="A21" s="185" t="n">
        <v>2500</v>
      </c>
      <c r="B21" s="294">
        <f>A21*0.029+0.3</f>
        <v/>
      </c>
      <c r="C21" s="294">
        <f>A21*0.0249+0.25</f>
        <v/>
      </c>
      <c r="D21" s="294">
        <f>A21*0.0259+0.49</f>
        <v/>
      </c>
      <c r="E21" s="300">
        <f>MIN(A21*0.005,5)+0.25</f>
        <v/>
      </c>
      <c r="F21" s="340">
        <f>B21-C21</f>
        <v/>
      </c>
      <c r="G21" s="341">
        <f>IF(A21&lt;500,"Stripe (simplicity)","Helcim or Dwolla ACH")</f>
        <v/>
      </c>
    </row>
    <row r="23" ht="18" customHeight="1" s="178">
      <c r="A23" s="181" t="inlineStr">
        <is>
          <t>RECOMMENDATION FOR SHUTTER</t>
        </is>
      </c>
    </row>
    <row r="24" ht="15" customHeight="1" s="178">
      <c r="A24" s="223" t="inlineStr">
        <is>
          <t>Stage</t>
        </is>
      </c>
      <c r="B24" s="223" t="inlineStr">
        <is>
          <t>Processor</t>
        </is>
      </c>
      <c r="C24" s="316" t="inlineStr">
        <is>
          <t>Reason</t>
        </is>
      </c>
      <c r="D24" s="183" t="n"/>
      <c r="E24" s="183" t="n"/>
      <c r="F24" s="183" t="n"/>
      <c r="G24" s="224" t="n"/>
    </row>
    <row r="25" ht="21.75" customHeight="1" s="178">
      <c r="A25" s="233" t="inlineStr">
        <is>
          <t>🚀  Launch (now)</t>
        </is>
      </c>
      <c r="B25" s="233" t="inlineStr">
        <is>
          <t>Stripe Connect</t>
        </is>
      </c>
      <c r="C25" s="344" t="inlineStr">
        <is>
          <t>Best docs, best marketplace API, easiest to implement. Worth the cost at low volume.</t>
        </is>
      </c>
      <c r="D25" s="183" t="n"/>
      <c r="E25" s="183" t="n"/>
      <c r="F25" s="183" t="n"/>
      <c r="G25" s="183" t="n"/>
    </row>
    <row r="26" ht="21.75" customHeight="1" s="178">
      <c r="A26" s="198" t="inlineStr">
        <is>
          <t>📈  Early traction</t>
        </is>
      </c>
      <c r="B26" s="198" t="inlineStr">
        <is>
          <t>Braintree</t>
        </is>
      </c>
      <c r="C26" s="345" t="inlineStr">
        <is>
          <t>2.59% + $0.49 per card — slightly cheaper than Stripe at scale. Its ACH rate (0.75% flat) is excellent for large bookings. Consider offering ACH as a payment option.</t>
        </is>
      </c>
      <c r="D26" s="183" t="n"/>
      <c r="E26" s="183" t="n"/>
      <c r="F26" s="183" t="n"/>
      <c r="G26" s="183" t="n"/>
    </row>
    <row r="27" ht="21.75" customHeight="1" s="178">
      <c r="A27" s="237" t="inlineStr">
        <is>
          <t>💰  Scale ($5K+/mo txns)</t>
        </is>
      </c>
      <c r="B27" s="237" t="inlineStr">
        <is>
          <t>Helcim + Dwolla ACH</t>
        </is>
      </c>
      <c r="C27" s="321" t="inlineStr">
        <is>
          <t>Offer bank transfer (ACH via Dwolla) as a cheaper option for large bookings. Creators doing $1,500+ shoots save ~$30/booking by paying via ACH.</t>
        </is>
      </c>
      <c r="D27" s="183" t="n"/>
      <c r="E27" s="183" t="n"/>
      <c r="F27" s="183" t="n"/>
      <c r="G27" s="183" t="n"/>
    </row>
    <row r="28" ht="21.75" customHeight="1" s="178">
      <c r="A28" s="238" t="inlineStr">
        <is>
          <t>🎯  Long-term</t>
        </is>
      </c>
      <c r="B28" s="238" t="inlineStr">
        <is>
          <t>Negotiate with Adyen</t>
        </is>
      </c>
      <c r="C28" s="346" t="inlineStr">
        <is>
          <t>At $1M+/year in processing, Adyen offers interchange++ pricing well below 2%. Requires enterprise contract.</t>
        </is>
      </c>
      <c r="D28" s="183" t="n"/>
      <c r="E28" s="183" t="n"/>
      <c r="F28" s="183" t="n"/>
      <c r="G28" s="183" t="n"/>
    </row>
    <row r="30" ht="30" customHeight="1" s="178">
      <c r="A30" s="347" t="inlineStr">
        <is>
          <t>⚠️ Correction: Braintree's $50K free processing promotion ("Ignition") was discontinued in November 2016 and is no longer available. Current Braintree rates: 2.59% + $0.49 (cards), 0.75% (ACH). Source: helloari.com/blog, techcrunch.com/2012, April 2026.</t>
        </is>
      </c>
    </row>
  </sheetData>
  <mergeCells count="11">
    <mergeCell ref="A13:G13"/>
    <mergeCell ref="A1:G1"/>
    <mergeCell ref="C24:G24"/>
    <mergeCell ref="C25:G25"/>
    <mergeCell ref="A4:G4"/>
    <mergeCell ref="C27:G27"/>
    <mergeCell ref="C28:G28"/>
    <mergeCell ref="A2:G2"/>
    <mergeCell ref="A30:G30"/>
    <mergeCell ref="C26:G26"/>
    <mergeCell ref="A23:G2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2026-04-16T02:22:06Z</dcterms:created>
  <dcterms:modified xmlns:dcterms="http://purl.org/dc/terms/" xmlns:xsi="http://www.w3.org/2001/XMLSchema-instance" xsi:type="dcterms:W3CDTF">2026-04-16T05:05:57Z</dcterms:modified>
  <cp:revision>0</cp:revision>
</cp:coreProperties>
</file>